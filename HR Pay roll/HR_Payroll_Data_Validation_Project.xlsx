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dab6dd17d64c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f995ad4e7b334de3"/>
    <x:sheet xmlns:r="http://schemas.openxmlformats.org/officeDocument/2006/relationships" name="Raw_HR_Data" sheetId="2" r:id="Reca8bfbbb1e74dba"/>
    <x:sheet xmlns:r="http://schemas.openxmlformats.org/officeDocument/2006/relationships" name="Validated_Data" sheetId="3" r:id="Rb1da36f3b4104bf7"/>
    <x:sheet xmlns:r="http://schemas.openxmlformats.org/officeDocument/2006/relationships" name="Error_Checks" sheetId="4" r:id="R7dac0d478ef74207"/>
    <x:sheet xmlns:r="http://schemas.openxmlformats.org/officeDocument/2006/relationships" name="Fix_Log" sheetId="5" r:id="R956c8441fa2b4aa4"/>
    <x:sheet xmlns:r="http://schemas.openxmlformats.org/officeDocument/2006/relationships" name="Dashboard" sheetId="6" r:id="R762c9f144f5d48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164" formatCode="dd-mmm-yyyy"/>
    <x:numFmt numFmtId="165" formatCode="₹#,##0"/>
    <x:numFmt numFmtId="166" formatCode="0.0%"/>
  </x:numFmts>
  <x:fonts count="11">
    <x:font>
      <x:sz val="11"/>
      <x:color theme="1"/>
      <x:name val="Calibri"/>
      <x:family val="2"/>
      <x:scheme val="minor"/>
    </x:font>
    <x:font>
      <x:b/>
      <x:sz val="16"/>
      <x:color rgb="00FFFFFF"/>
    </x:font>
    <x:font>
      <x:b/>
      <x:sz val="11"/>
      <x:color rgb="00FFFFFF"/>
    </x:font>
    <x:font>
      <x:b/>
    </x:font>
    <x:font>
      <x:sz val="10"/>
      <x:color rgb="00008000"/>
    </x:font>
    <x:font>
      <x:sz val="10"/>
    </x:font>
    <x:font>
      <x:sz val="10"/>
      <x:color rgb="000000FF"/>
    </x:font>
    <x:font>
      <x:sz val="10"/>
      <x:color rgb="00000000"/>
    </x:font>
    <x:font>
      <x:sz val="10"/>
      <x:color rgb="00FF0000"/>
    </x:font>
    <x:font>
      <x:b/>
      <x:sz val="12"/>
      <x:color rgb="00FFFFFF"/>
    </x:font>
    <x:font>
      <x:b/>
      <x:sz val="16"/>
    </x:font>
  </x:fonts>
  <x:fills count="8">
    <x:fill>
      <x:patternFill patternType="none"/>
    </x:fill>
    <x:fill>
      <x:patternFill patternType="gray125"/>
    </x:fill>
    <x:fill>
      <x:patternFill patternType="solid">
        <x:fgColor rgb="001F4E79"/>
      </x:patternFill>
    </x:fill>
    <x:fill>
      <x:patternFill patternType="solid">
        <x:fgColor rgb="00E7E6E6"/>
      </x:patternFill>
    </x:fill>
    <x:fill>
      <x:patternFill patternType="solid">
        <x:fgColor rgb="00D9EAF7"/>
      </x:patternFill>
    </x:fill>
    <x:fill>
      <x:patternFill patternType="solid">
        <x:fgColor rgb="00E2F0D9"/>
      </x:patternFill>
    </x:fill>
    <x:fill>
      <x:patternFill patternType="solid">
        <x:fgColor rgb="002F75B5"/>
      </x:patternFill>
    </x:fill>
    <x:fill>
      <x:patternFill patternType="solid">
        <x:fgColor rgb="00FFF2CC"/>
      </x:patternFill>
    </x:fill>
  </x:fills>
  <x:borders count="10">
    <x:border>
      <x:left/>
      <x:right/>
      <x:top/>
      <x:bottom/>
      <x:diagonal/>
    </x:border>
    <x:border>
      <x:left style="thin">
        <x:color rgb="00D9D9D9"/>
      </x:left>
      <x:right style="thin">
        <x:color rgb="00D9D9D9"/>
      </x:right>
      <x:top style="thin">
        <x:color rgb="00D9D9D9"/>
      </x:top>
      <x:bottom style="thin">
        <x:color rgb="00D9D9D9"/>
      </x:bottom>
    </x:border>
    <x:border>
      <x:left/>
      <x:right/>
      <x:top style="thin">
        <x:color rgb="00D9D9D9"/>
      </x:top>
      <x:bottom/>
      <x:diagonal/>
    </x:border>
    <x:border>
      <x:left style="thin">
        <x:color rgb="00D9D9D9"/>
      </x:left>
      <x:right/>
      <x:top/>
      <x:bottom/>
      <x:diagonal/>
    </x:border>
    <x:border>
      <x:left/>
      <x:right style="thin">
        <x:color rgb="00D9D9D9"/>
      </x:right>
      <x:top style="thin">
        <x:color rgb="00D9D9D9"/>
      </x:top>
      <x:bottom/>
      <x:diagonal/>
    </x:border>
    <x:border>
      <x:left/>
      <x:right style="thin">
        <x:color rgb="00D9D9D9"/>
      </x:right>
      <x:top/>
      <x:bottom/>
      <x:diagonal/>
    </x:border>
    <x:border>
      <x:left style="thin">
        <x:color rgb="00D9D9D9"/>
      </x:left>
      <x:right/>
      <x:top/>
      <x:bottom style="thin">
        <x:color rgb="00D9D9D9"/>
      </x:bottom>
      <x:diagonal/>
    </x:border>
    <x:border>
      <x:left/>
      <x:right style="thin">
        <x:color rgb="00D9D9D9"/>
      </x:right>
      <x:top/>
      <x:bottom style="thin">
        <x:color rgb="00D9D9D9"/>
      </x:bottom>
      <x:diagonal/>
    </x:border>
    <x:border>
      <x:left/>
      <x:right/>
      <x:top style="thin">
        <x:color rgb="00D9D9D9"/>
      </x:top>
      <x:bottom style="thin">
        <x:color rgb="00D9D9D9"/>
      </x:bottom>
      <x:diagonal/>
    </x:border>
    <x:border>
      <x:left/>
      <x:right style="thin">
        <x:color rgb="00D9D9D9"/>
      </x:right>
      <x:top style="thin">
        <x:color rgb="00D9D9D9"/>
      </x:top>
      <x:bottom style="thin">
        <x:color rgb="00D9D9D9"/>
      </x:bottom>
      <x:diagonal/>
    </x:border>
  </x:borders>
  <x:cellStyleXfs count="1">
    <x:xf numFmtId="0" fontId="0" fillId="0" borderId="0"/>
  </x:cellStyleXfs>
  <x:cellXfs count="49">
    <x:xf numFmtId="0" fontId="0" fillId="0" borderId="0" xfId="0"/>
    <x:xf numFmtId="0" fontId="1" fillId="2" borderId="0" xfId="0" applyAlignment="1">
      <x:alignment horizontal="center" vertical="center"/>
    </x:xf>
    <x:xf numFmtId="0" fontId="2" fillId="2" borderId="1" xfId="0" applyAlignment="1">
      <x:alignment horizontal="center" vertical="center" wrapText="1"/>
    </x:xf>
    <x:xf numFmtId="0" fontId="3" fillId="3" borderId="1" xfId="0"/>
    <x:xf numFmtId="0" fontId="0" fillId="0" borderId="1" xfId="0" applyAlignment="1">
      <x:alignment vertical="center" wrapText="1"/>
    </x:xf>
    <x:xf numFmtId="0" fontId="4" fillId="0" borderId="1" xfId="0" applyAlignment="1">
      <x:alignment horizontal="center" vertical="center"/>
    </x:xf>
    <x:xf numFmtId="0" fontId="4" fillId="0" borderId="1" xfId="0" applyAlignment="1">
      <x:alignment horizontal="left" vertical="center"/>
    </x:xf>
    <x:xf numFmtId="164" fontId="4" fillId="0" borderId="1" xfId="0" applyAlignment="1">
      <x:alignment horizontal="center" vertical="center"/>
    </x:xf>
    <x:xf numFmtId="165" fontId="5" fillId="0" borderId="1" xfId="0" applyAlignment="1">
      <x:alignment horizontal="right" vertical="center"/>
    </x:xf>
    <x:xf numFmtId="0" fontId="5" fillId="0" borderId="1" xfId="0" applyAlignment="1">
      <x:alignment horizontal="center" vertical="center"/>
    </x:xf>
    <x:xf numFmtId="165" fontId="6" fillId="0" borderId="1" xfId="0" applyAlignment="1">
      <x:alignment horizontal="right" vertical="center"/>
    </x:xf>
    <x:xf numFmtId="165" fontId="7" fillId="0" borderId="1" xfId="0" applyAlignment="1">
      <x:alignment horizontal="right" vertical="center"/>
    </x:xf>
    <x:xf numFmtId="0" fontId="6" fillId="0" borderId="1" xfId="0" applyAlignment="1">
      <x:alignment horizontal="center" vertical="center"/>
    </x:xf>
    <x:xf numFmtId="0" fontId="3" fillId="3" borderId="1" xfId="0" applyAlignment="1">
      <x:alignment horizontal="left" vertical="center"/>
    </x:xf>
    <x:xf numFmtId="0" fontId="3" fillId="4" borderId="1" xfId="0" applyAlignment="1">
      <x:alignment horizontal="center" vertical="center"/>
    </x:xf>
    <x:xf numFmtId="0" fontId="4" fillId="0" borderId="1" xfId="0" applyAlignment="1">
      <x:alignment horizontal="center" vertical="center" wrapText="1"/>
    </x:xf>
    <x:xf numFmtId="0" fontId="4" fillId="0" borderId="1" xfId="0" applyAlignment="1">
      <x:alignment horizontal="left" vertical="center" wrapText="1"/>
    </x:xf>
    <x:xf numFmtId="0" fontId="7" fillId="0" borderId="1" xfId="0" applyAlignment="1">
      <x:alignment horizontal="center" vertical="center" wrapText="1"/>
    </x:xf>
    <x:xf numFmtId="0" fontId="7" fillId="0" borderId="1" xfId="0" applyAlignment="1">
      <x:alignment horizontal="left" vertical="center" wrapText="1"/>
    </x:xf>
    <x:xf numFmtId="166" fontId="3" fillId="5" borderId="1" xfId="0" applyAlignment="1">
      <x:alignment horizontal="center" vertical="center"/>
    </x:xf>
    <x:xf numFmtId="0" fontId="5" fillId="0" borderId="1" xfId="0" applyAlignment="1">
      <x:alignment horizontal="left" vertical="center" wrapText="1"/>
    </x:xf>
    <x:xf numFmtId="0" fontId="6" fillId="0" borderId="1" xfId="0" applyAlignment="1">
      <x:alignment horizontal="center" vertical="center" wrapText="1"/>
    </x:xf>
    <x:xf numFmtId="0" fontId="5" fillId="0" borderId="1" xfId="0" applyAlignment="1">
      <x:alignment horizontal="center" vertical="center" wrapText="1"/>
    </x:xf>
    <x:xf numFmtId="164" fontId="5" fillId="0" borderId="1" xfId="0" applyAlignment="1">
      <x:alignment horizontal="center" vertical="center" wrapText="1"/>
    </x:xf>
    <x:xf numFmtId="0" fontId="8" fillId="0" borderId="1" xfId="0" applyAlignment="1">
      <x:alignment horizontal="center" vertical="center" wrapText="1"/>
    </x:xf>
    <x:xf numFmtId="0" fontId="1" fillId="2" borderId="0" xfId="0" applyAlignment="1">
      <x:alignment horizontal="center"/>
    </x:xf>
    <x:xf numFmtId="0" fontId="9" fillId="6" borderId="1" xfId="0" applyAlignment="1">
      <x:alignment horizontal="center"/>
    </x:xf>
    <x:xf numFmtId="0" fontId="0" fillId="0" borderId="1" xfId="0"/>
    <x:xf numFmtId="0" fontId="10" fillId="4" borderId="1" xfId="0" applyAlignment="1">
      <x:alignment horizontal="center" vertical="center"/>
    </x:xf>
    <x:xf numFmtId="0" fontId="10" fillId="7" borderId="1" xfId="0" applyAlignment="1">
      <x:alignment horizontal="center" vertical="center"/>
    </x:xf>
    <x:xf numFmtId="166" fontId="10" fillId="4" borderId="1" xfId="0" applyAlignment="1">
      <x:alignment horizontal="center" vertical="center"/>
    </x:xf>
    <x:xf numFmtId="0" fontId="2" fillId="2" borderId="1" xfId="0" applyAlignment="1">
      <x:alignment horizontal="left" vertical="center"/>
    </x:xf>
    <x:xf numFmtId="0" fontId="2" fillId="2" borderId="1" xfId="0" applyAlignment="1">
      <x:alignment horizontal="center" vertical="center"/>
    </x:xf>
    <x:xf numFmtId="0" fontId="0" fillId="0" borderId="1" xfId="0" applyAlignment="1">
      <x:alignment horizontal="left" vertical="center"/>
    </x:xf>
    <x:xf numFmtId="0" fontId="0" fillId="0" borderId="1" xfId="0" applyAlignment="1">
      <x:alignment horizontal="center" vertical="center"/>
    </x:xf>
    <x:xf numFmtId="0" fontId="0" fillId="3" borderId="1" xfId="0" applyAlignment="1">
      <x:alignment vertical="center" wrapText="1"/>
    </x:xf>
    <x:xf numFmtId="164" fontId="4" fillId="0" borderId="1" xfId="0" applyAlignment="1">
      <x:alignment horizontal="center" vertical="center"/>
    </x:xf>
    <x:xf numFmtId="165" fontId="5" fillId="0" borderId="1" xfId="0" applyAlignment="1">
      <x:alignment horizontal="right" vertical="center"/>
    </x:xf>
    <x:xf numFmtId="165" fontId="6" fillId="0" borderId="1" xfId="0" applyAlignment="1">
      <x:alignment horizontal="right" vertical="center"/>
    </x:xf>
    <x:xf numFmtId="165" fontId="7" fillId="0" borderId="1" xfId="0" applyAlignment="1">
      <x:alignment horizontal="right" vertical="center"/>
    </x:xf>
    <x:xf numFmtId="166" fontId="3" fillId="5" borderId="1" xfId="0" applyAlignment="1">
      <x:alignment horizontal="center" vertical="center"/>
    </x:xf>
    <x:xf numFmtId="164" fontId="5" fillId="0" borderId="1" xfId="0" applyAlignment="1">
      <x:alignment horizontal="center" vertical="center" wrapText="1"/>
    </x:xf>
    <x:xf numFmtId="0" fontId="0" fillId="0" borderId="9" xfId="0"/>
    <x:xf numFmtId="0" fontId="0" fillId="0" borderId="4" xfId="0"/>
    <x:xf numFmtId="1" fontId="10" fillId="7" borderId="1" xfId="0" applyAlignment="1">
      <x:alignment horizontal="center" vertical="center"/>
    </x:xf>
    <x:xf numFmtId="166" fontId="10" fillId="4" borderId="1" xfId="0" applyAlignment="1">
      <x:alignment horizontal="center" vertical="center"/>
    </x:xf>
    <x:xf numFmtId="0" fontId="0" fillId="0" borderId="6" xfId="0"/>
    <x:xf numFmtId="0" fontId="0" fillId="0" borderId="7" xfId="0"/>
    <x:xf numFmtId="0" fontId="0" fillId="0" borderId="8" xfId="0"/>
  </x:cellXfs>
  <x:cellStyles count="1">
    <x:cellStyle name="Normal" xfId="0"/>
  </x:cellStyles>
  <x:dxfs count="3">
    <x:dxf>
      <x:fill>
        <x:patternFill>
          <x:bgColor rgb="00FCE4D6"/>
        </x:patternFill>
      </x:fill>
    </x:dxf>
    <x:dxf>
      <x:fill>
        <x:patternFill>
          <x:bgColor rgb="00FFF2CC"/>
        </x:patternFill>
      </x:fill>
    </x:dxf>
    <x:dxf>
      <x:fill>
        <x:patternFill>
          <x:bgColor rgb="00E2F0D9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ed9ce29ea748de" /><Relationship Type="http://schemas.openxmlformats.org/officeDocument/2006/relationships/theme" Target="/xl/theme/theme1.xml" Id="Ra8765f42cd80491d" /><Relationship Type="http://schemas.openxmlformats.org/officeDocument/2006/relationships/sharedStrings" Target="/xl/sharedStrings.xml" Id="Rb434c8c1748d4060" /><Relationship Type="http://schemas.openxmlformats.org/officeDocument/2006/relationships/worksheet" Target="/xl/worksheets/sheet1.xml" Id="Rf995ad4e7b334de3" /><Relationship Type="http://schemas.openxmlformats.org/officeDocument/2006/relationships/worksheet" Target="/xl/worksheets/sheet2.xml" Id="Reca8bfbbb1e74dba" /><Relationship Type="http://schemas.openxmlformats.org/officeDocument/2006/relationships/worksheet" Target="/xl/worksheets/sheet3.xml" Id="Rb1da36f3b4104bf7" /><Relationship Type="http://schemas.openxmlformats.org/officeDocument/2006/relationships/worksheet" Target="/xl/worksheets/sheet4.xml" Id="R7dac0d478ef74207" /><Relationship Type="http://schemas.openxmlformats.org/officeDocument/2006/relationships/worksheet" Target="/xl/worksheets/sheet5.xml" Id="R956c8441fa2b4aa4" /><Relationship Type="http://schemas.openxmlformats.org/officeDocument/2006/relationships/worksheet" Target="/xl/worksheets/sheet6.xml" Id="R762c9f144f5d48e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c3dd58238e94540" /><Relationship Type="http://schemas.openxmlformats.org/officeDocument/2006/relationships/chart" Target="/xl/drawings/charts/chart2.xml" Id="Rd10e3f21b08a4986" /><Relationship Type="http://schemas.openxmlformats.org/officeDocument/2006/relationships/chart" Target="/xl/drawings/charts/chart3.xml" Id="Rf96acd8477334071" /><Relationship Type="http://schemas.openxmlformats.org/officeDocument/2006/relationships/chart" Target="/xl/drawings/charts/chart4.xml" Id="Rd8f33f7ade6b4c7c" /></Relationships>
</file>

<file path=xl/drawings/charts/chart1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Error Type Distribution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/>
          </a:pPr>
        </a:p>
      </c:txPr>
    </c:title>
    <c:autoTitleDeleted val="0"/>
    <c:plotArea>
      <c:layout/>
      <c:barChart>
        <c:barDir val="bar"/>
        <c:grouping val="clustered"/>
        <c:ser>
          <c:idx val="0"/>
          <c:order val="0"/>
          <c:tx>
            <c:strRef>
              <c:f>'Dashboard'!B8</c:f>
              <c:strCache>
                <c:ptCount val="1"/>
                <c:pt idx="0">
                  <c:v>None</c:v>
                </c:pt>
              </c:strCache>
            </c:strRef>
          </c:tx>
          <c:spPr>
            <a:ln xmlns:a="http://schemas.openxmlformats.org/drawingml/2006/main">
              <a:prstDash val="solid"/>
            </a:ln>
          </c:spPr>
          <c:cat>
            <c:strRef>
              <c:f>'Dashboard'!$A$9:$A$19</c:f>
              <c:strCache>
                <c:ptCount val="0"/>
              </c:strCache>
            </c:strRef>
          </c:cat>
          <c:val>
            <c:numRef>
              <c:f>'Dashboard'!$B$9:$B$19</c:f>
              <c:numCache>
                <c:formatCode/>
                <c:ptCount val="0"/>
              </c:numCache>
            </c:numRef>
          </c:val>
        </c:ser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Count</a:t>
                </a:r>
              </a:p>
            </c:rich>
          </c:tx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/>
              </a:pPr>
            </a:p>
          </c:txPr>
        </c:title>
        <c:numFmt formatCode="" sourceLinked="0"/>
        <c:majorTickMark val="none"/>
        <c:minorTickMark val="none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Error Type</a:t>
                </a:r>
              </a:p>
            </c:rich>
          </c:tx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/>
              </a:pPr>
            </a:p>
          </c:txPr>
        </c:title>
        <c:numFmt formatCode="" sourceLinked="0"/>
        <c:majorTickMark val="none"/>
        <c:minorTickMark val="none"/>
        <c:crossAx val="48650112"/>
        <c:crosses val="autoZero"/>
        <c:crossBetween val="between"/>
      </c:valAx>
    </c:plotArea>
    <c:plotVisOnly val="1"/>
    <c:dispBlanksAs val="gap"/>
  </c:chart>
</c:chartSpace>
</file>

<file path=xl/drawings/charts/chart2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Department-wise Error Count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/>
          </a:pPr>
        </a:p>
      </c:txPr>
    </c:title>
    <c:autoTitleDeleted val="0"/>
    <c:plotArea>
      <c:layout/>
      <c:barChart>
        <c:barDir val="col"/>
        <c:grouping val="clustered"/>
        <c:ser>
          <c:idx val="0"/>
          <c:order val="0"/>
          <c:tx>
            <c:strRef>
              <c:f>'Dashboard'!E8</c:f>
              <c:strCache>
                <c:ptCount val="1"/>
                <c:pt idx="0">
                  <c:v>None</c:v>
                </c:pt>
              </c:strCache>
            </c:strRef>
          </c:tx>
          <c:spPr>
            <a:ln xmlns:a="http://schemas.openxmlformats.org/drawingml/2006/main">
              <a:prstDash val="solid"/>
            </a:ln>
          </c:spPr>
          <c:cat>
            <c:strRef>
              <c:f>'Dashboard'!$D$9:$D$18</c:f>
              <c:strCache>
                <c:ptCount val="0"/>
              </c:strCache>
            </c:strRef>
          </c:cat>
          <c:val>
            <c:numRef>
              <c:f>'Dashboard'!$E$9:$E$18</c:f>
              <c:numCache>
                <c:formatCode/>
                <c:ptCount val="0"/>
              </c:numCache>
            </c:numRef>
          </c:val>
        </c:ser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numFmt formatCode="" sourceLinked="0"/>
        <c:majorTickMark val="none"/>
        <c:minorTickMark val="none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Count</a:t>
                </a:r>
              </a:p>
            </c:rich>
          </c:tx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/>
              </a:pPr>
            </a:p>
          </c:txPr>
        </c:title>
        <c:numFmt formatCode="" sourceLinked="0"/>
        <c:majorTickMark val="none"/>
        <c:minorTickMark val="none"/>
        <c:crossAx val="48650112"/>
        <c:crosses val="autoZero"/>
        <c:crossBetween val="between"/>
      </c:valAx>
    </c:plotArea>
    <c:plotVisOnly val="1"/>
    <c:dispBlanksAs val="gap"/>
  </c:chart>
</c:chartSpace>
</file>

<file path=xl/drawings/charts/chart3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Validated Payroll Status Breakdown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/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'Dashboard'!H8</c:f>
              <c:strCache>
                <c:ptCount val="1"/>
                <c:pt idx="0">
                  <c:v>None</c:v>
                </c:pt>
              </c:strCache>
            </c:strRef>
          </c:tx>
          <c:spPr>
            <a:ln xmlns:a="http://schemas.openxmlformats.org/drawingml/2006/main">
              <a:prstDash val="solid"/>
            </a:ln>
          </c:spPr>
          <c:cat>
            <c:strRef>
              <c:f>'Dashboard'!$G$9:$G$11</c:f>
              <c:strCache>
                <c:ptCount val="0"/>
              </c:strCache>
            </c:strRef>
          </c:cat>
          <c:val>
            <c:numRef>
              <c:f>'Dashboard'!$H$9:$H$11</c:f>
              <c:numCache>
                <c:formatCode>General</c:formatCode>
                <c:ptCount val="0"/>
              </c:numCache>
            </c:numRef>
          </c:val>
        </c:ser>
        <c:firstSliceAng val="0"/>
      </c:pieChart>
    </c:plotArea>
    <c:legend>
      <c:legendPos val="r"/>
    </c:legend>
    <c:plotVisOnly val="1"/>
    <c:dispBlanksAs val="gap"/>
  </c:chart>
</c:chartSpace>
</file>

<file path=xl/drawings/charts/chart4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Fix Log Status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/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'Dashboard'!K8</c:f>
              <c:strCache>
                <c:ptCount val="1"/>
                <c:pt idx="0">
                  <c:v>None</c:v>
                </c:pt>
              </c:strCache>
            </c:strRef>
          </c:tx>
          <c:spPr>
            <a:ln xmlns:a="http://schemas.openxmlformats.org/drawingml/2006/main">
              <a:prstDash val="solid"/>
            </a:ln>
          </c:spPr>
          <c:cat>
            <c:strRef>
              <c:f>'Dashboard'!$J$9:$J$11</c:f>
              <c:strCache>
                <c:ptCount val="0"/>
              </c:strCache>
            </c:strRef>
          </c:cat>
          <c:val>
            <c:numRef>
              <c:f>'Dashboard'!$K$9:$K$11</c:f>
              <c:numCache>
                <c:formatCode>General</c:formatCode>
                <c:ptCount val="0"/>
              </c:numCache>
            </c:numRef>
          </c:val>
        </c:ser>
        <c:firstSliceAng val="0"/>
      </c:pieChart>
    </c:plotArea>
    <c:legend>
      <c:legendPos val="r"/>
    </c:legend>
    <c:plotVisOnly val="1"/>
    <c:dispBlanksAs val="gap"/>
  </c:chart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20</xdr:row>
      <xdr:rowOff>0</xdr:rowOff>
    </xdr:from>
    <xdr:to>
      <xdr:col>2</xdr:col>
      <xdr:colOff>0</xdr:colOff>
      <xdr:row>10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c3dd58238e94540"/>
        </a:graphicData>
      </a:graphic>
    </xdr:graphicFrame>
    <xdr:clientData/>
  </xdr:twoCellAnchor>
  <xdr:twoCellAnchor>
    <xdr:from>
      <xdr:col>13</xdr:col>
      <xdr:colOff>0</xdr:colOff>
      <xdr:row>20</xdr:row>
      <xdr:rowOff>0</xdr:rowOff>
    </xdr:from>
    <xdr:to>
      <xdr:col>2</xdr:col>
      <xdr:colOff>0</xdr:colOff>
      <xdr:row>10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10e3f21b08a4986"/>
        </a:graphicData>
      </a:graphic>
    </xdr:graphicFrame>
    <xdr:clientData/>
  </xdr:twoCellAnchor>
  <xdr:twoCellAnchor>
    <xdr:from>
      <xdr:col>0</xdr:col>
      <xdr:colOff>0</xdr:colOff>
      <xdr:row>37</xdr:row>
      <xdr:rowOff>0</xdr:rowOff>
    </xdr:from>
    <xdr:to>
      <xdr:col>2</xdr:col>
      <xdr:colOff>0</xdr:colOff>
      <xdr:row>10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96acd8477334071"/>
        </a:graphicData>
      </a:graphic>
    </xdr:graphicFrame>
    <xdr:clientData/>
  </xdr:twoCellAnchor>
  <xdr:twoCellAnchor>
    <xdr:from>
      <xdr:col>9</xdr:col>
      <xdr:colOff>0</xdr:colOff>
      <xdr:row>37</xdr:row>
      <xdr:rowOff>0</xdr:rowOff>
    </xdr:from>
    <xdr:to>
      <xdr:col>2</xdr:col>
      <xdr:colOff>0</xdr:colOff>
      <xdr:row>10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8f33f7ade6b4c7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awHRData" displayName="RawHRData" ref="A1:O221" headerRowCount="1">
  <x:autoFilter ref="A1:O221"/>
  <x:tableColumns count="15">
    <x:tableColumn id="1" name="Employee ID"/>
    <x:tableColumn id="2" name="Employee Name"/>
    <x:tableColumn id="3" name="Department"/>
    <x:tableColumn id="4" name="Location"/>
    <x:tableColumn id="5" name="Joining Date"/>
    <x:tableColumn id="6" name="Basic Salary"/>
    <x:tableColumn id="7" name="HRA"/>
    <x:tableColumn id="8" name="Allowances"/>
    <x:tableColumn id="9" name="Deductions"/>
    <x:tableColumn id="10" name="Net Pay"/>
    <x:tableColumn id="11" name="Bank Account Status"/>
    <x:tableColumn id="12" name="PAN Status"/>
    <x:tableColumn id="13" name="Attendance Days"/>
    <x:tableColumn id="14" name="Leave Taken"/>
    <x:tableColumn id="15" name="Payroll Status"/>
  </x:tableColumns>
  <x:tableStyleInfo name="TableStyleMedium2" showRowStripes="1"/>
</x:table>
</file>

<file path=xl/tables/table2.xml><?xml version="1.0" encoding="utf-8"?>
<x:table xmlns:x="http://schemas.openxmlformats.org/spreadsheetml/2006/main" id="2" name="ValidatedHRData" displayName="ValidatedHRData" ref="A1:O221" headerRowCount="1">
  <x:autoFilter ref="A1:O221"/>
  <x:tableColumns count="15">
    <x:tableColumn id="1" name="Employee ID"/>
    <x:tableColumn id="2" name="Employee Name"/>
    <x:tableColumn id="3" name="Department"/>
    <x:tableColumn id="4" name="Location"/>
    <x:tableColumn id="5" name="Joining Date"/>
    <x:tableColumn id="6" name="Basic Salary"/>
    <x:tableColumn id="7" name="HRA"/>
    <x:tableColumn id="8" name="Allowances"/>
    <x:tableColumn id="9" name="Deductions"/>
    <x:tableColumn id="10" name="Net Pay"/>
    <x:tableColumn id="11" name="Bank Account Status"/>
    <x:tableColumn id="12" name="PAN Status"/>
    <x:tableColumn id="13" name="Attendance Days"/>
    <x:tableColumn id="14" name="Leave Taken"/>
    <x:tableColumn id="15" name="Payroll Status"/>
  </x:tableColumns>
  <x:tableStyleInfo name="TableStyleMedium2" showRowStripes="1"/>
</x:table>
</file>

<file path=xl/tables/table3.xml><?xml version="1.0" encoding="utf-8"?>
<x:table xmlns:x="http://schemas.openxmlformats.org/spreadsheetml/2006/main" id="3" name="ErrorChecks" displayName="ErrorChecks" ref="A3:Q223" headerRowCount="1">
  <x:autoFilter ref="A3:Q223"/>
  <x:tableColumns count="17">
    <x:tableColumn id="1" name="Employee ID"/>
    <x:tableColumn id="2" name="Employee Name"/>
    <x:tableColumn id="3" name="Department"/>
    <x:tableColumn id="4" name="Duplicate ID"/>
    <x:tableColumn id="5" name="Missing Name"/>
    <x:tableColumn id="6" name="Missing Salary"/>
    <x:tableColumn id="7" name="Invalid Salary Type"/>
    <x:tableColumn id="8" name="Negative Deduction"/>
    <x:tableColumn id="9" name="Net Pay Error"/>
    <x:tableColumn id="10" name="Missing Bank Status"/>
    <x:tableColumn id="11" name="Missing PAN"/>
    <x:tableColumn id="12" name="Invalid Attendance"/>
    <x:tableColumn id="13" name="Invalid Leave"/>
    <x:tableColumn id="14" name="Invalid Payroll Status"/>
    <x:tableColumn id="15" name="Total Flags"/>
    <x:tableColumn id="16" name="Overall Status"/>
    <x:tableColumn id="17" name="Suggested Action"/>
  </x:tableColumns>
  <x:tableStyleInfo name="TableStyleMedium2" showRowStripes="1"/>
</x:table>
</file>

<file path=xl/tables/table4.xml><?xml version="1.0" encoding="utf-8"?>
<x:table xmlns:x="http://schemas.openxmlformats.org/spreadsheetml/2006/main" id="4" name="FixLog" displayName="FixLog" ref="A1:H43" headerRowCount="1">
  <x:autoFilter ref="A1:H43"/>
  <x:tableColumns count="8">
    <x:tableColumn id="1" name="Employee ID"/>
    <x:tableColumn id="2" name="Employee Name"/>
    <x:tableColumn id="3" name="Issue Identified"/>
    <x:tableColumn id="4" name="Root Cause"/>
    <x:tableColumn id="5" name="Corrective Action"/>
    <x:tableColumn id="6" name="Status"/>
    <x:tableColumn id="7" name="Fixed By"/>
    <x:tableColumn id="8" name="Fix Date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73b6f33d6444b8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6b4a4a6012e473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856d8e0f5d148c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192d15a31be403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0285f7d3b454418d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100" customWidth="1"/>
  </x:cols>
  <x:sheetData>
    <x:row r="1" ht="28" customHeight="1">
      <x:c r="A1" s="1" t="inlineStr">
        <x:is>
          <x:t xml:space="preserve">HR / Payroll Data Validation &amp; Error Detection Project</x:t>
        </x:is>
      </x:c>
    </x:row>
    <x:row r="3" ht="34.5" customHeight="1">
      <x:c r="A3" s="2" t="inlineStr">
        <x:is>
          <x:t xml:space="preserve">Section</x:t>
        </x:is>
      </x:c>
      <x:c r="B3" s="2" t="inlineStr">
        <x:is>
          <x:t xml:space="preserve">Details</x:t>
        </x:is>
      </x:c>
    </x:row>
    <x:row r="4">
      <x:c r="A4" s="3" t="inlineStr">
        <x:is>
          <x:t xml:space="preserve">Objective</x:t>
        </x:is>
      </x:c>
      <x:c r="B4" s="4" t="inlineStr">
        <x:is>
          <x:t xml:space="preserve">Validate simulated employee payroll data, detect operational errors, document fixes, and present control metrics in a recruiter-friendly workbook.</x:t>
        </x:is>
      </x:c>
    </x:row>
    <x:row r="5">
      <x:c r="A5" s="3" t="inlineStr">
        <x:is>
          <x:t xml:space="preserve">Sheets Included</x:t>
        </x:is>
      </x:c>
      <x:c r="B5" s="4" t="inlineStr">
        <x:is>
          <x:t xml:space="preserve">Raw_HR_Data, Validated_Data, Error_Checks, Fix_Log, Dashboard</x:t>
        </x:is>
      </x:c>
    </x:row>
    <x:row r="6">
      <x:c r="A6" s="3" t="inlineStr">
        <x:is>
          <x:t xml:space="preserve">What makes this relevant</x:t>
        </x:is>
      </x:c>
      <x:c r="B6" s="4" t="inlineStr">
        <x:is>
          <x:t xml:space="preserve">Shows data accuracy, issue identification, reconciliation, process adherence, and reporting - directly relevant to Deloitte CIC and operations support roles.</x:t>
        </x:is>
      </x:c>
    </x:row>
    <x:row r="7">
      <x:c r="A7" s="3" t="inlineStr">
        <x:is>
          <x:t xml:space="preserve">How to explain in interview</x:t>
        </x:is>
      </x:c>
      <x:c r="B7" s="4" t="inlineStr">
        <x:is>
          <x:t xml:space="preserve">Built an HR/payroll validation workflow, inserted realistic data quality issues, used Excel checks to flag them, corrected the records, and documented the resolution process using a fix log and dashboard.</x:t>
        </x:is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4" customWidth="1"/>
    <x:col min="2" max="2" width="22" customWidth="1"/>
    <x:col min="3" max="3" width="20" customWidth="1"/>
    <x:col min="4" max="4" width="14" customWidth="1"/>
    <x:col min="5" max="5" width="14" customWidth="1"/>
    <x:col min="6" max="6" width="14" customWidth="1"/>
    <x:col min="7" max="7" width="12" customWidth="1"/>
    <x:col min="8" max="8" width="12" customWidth="1"/>
    <x:col min="9" max="9" width="12" customWidth="1"/>
    <x:col min="10" max="10" width="14" customWidth="1"/>
    <x:col min="11" max="11" width="18" customWidth="1"/>
    <x:col min="12" max="12" width="12" customWidth="1"/>
    <x:col min="13" max="13" width="14" customWidth="1"/>
    <x:col min="14" max="14" width="12" customWidth="1"/>
    <x:col min="15" max="15" width="14" customWidth="1"/>
  </x:cols>
  <x:sheetData>
    <x:row r="1" ht="34.5" customHeight="1">
      <x:c r="A1" s="2" t="inlineStr">
        <x:is>
          <x:t xml:space="preserve">Employee ID</x:t>
        </x:is>
      </x:c>
      <x:c r="B1" s="2" t="inlineStr">
        <x:is>
          <x:t xml:space="preserve">Employee Name</x:t>
        </x:is>
      </x:c>
      <x:c r="C1" s="2" t="inlineStr">
        <x:is>
          <x:t xml:space="preserve">Department</x:t>
        </x:is>
      </x:c>
      <x:c r="D1" s="2" t="inlineStr">
        <x:is>
          <x:t xml:space="preserve">Location</x:t>
        </x:is>
      </x:c>
      <x:c r="E1" s="2" t="inlineStr">
        <x:is>
          <x:t xml:space="preserve">Joining Date</x:t>
        </x:is>
      </x:c>
      <x:c r="F1" s="2" t="inlineStr">
        <x:is>
          <x:t xml:space="preserve">Basic Salary</x:t>
        </x:is>
      </x:c>
      <x:c r="G1" s="2" t="inlineStr">
        <x:is>
          <x:t xml:space="preserve">HRA</x:t>
        </x:is>
      </x:c>
      <x:c r="H1" s="2" t="inlineStr">
        <x:is>
          <x:t xml:space="preserve">Allowances</x:t>
        </x:is>
      </x:c>
      <x:c r="I1" s="2" t="inlineStr">
        <x:is>
          <x:t xml:space="preserve">Deductions</x:t>
        </x:is>
      </x:c>
      <x:c r="J1" s="2" t="inlineStr">
        <x:is>
          <x:t xml:space="preserve">Net Pay</x:t>
        </x:is>
      </x:c>
      <x:c r="K1" s="2" t="inlineStr">
        <x:is>
          <x:t xml:space="preserve">Bank Account Status</x:t>
        </x:is>
      </x:c>
      <x:c r="L1" s="2" t="inlineStr">
        <x:is>
          <x:t xml:space="preserve">PAN Status</x:t>
        </x:is>
      </x:c>
      <x:c r="M1" s="2" t="inlineStr">
        <x:is>
          <x:t xml:space="preserve">Attendance Days</x:t>
        </x:is>
      </x:c>
      <x:c r="N1" s="2" t="inlineStr">
        <x:is>
          <x:t xml:space="preserve">Leave Taken</x:t>
        </x:is>
      </x:c>
      <x:c r="O1" s="2" t="inlineStr">
        <x:is>
          <x:t xml:space="preserve">Payroll Status</x:t>
        </x:is>
      </x:c>
    </x:row>
    <x:row r="2">
      <x:c r="A2" s="5" t="inlineStr">
        <x:is>
          <x:t xml:space="preserve">EMP93810</x:t>
        </x:is>
      </x:c>
      <x:c r="B2" s="6" t="inlineStr">
        <x:is>
          <x:t xml:space="preserve">Deepika Anderson</x:t>
        </x:is>
      </x:c>
      <x:c r="C2" s="6" t="inlineStr">
        <x:is>
          <x:t xml:space="preserve">Talent Ops</x:t>
        </x:is>
      </x:c>
      <x:c r="D2" s="5" t="inlineStr">
        <x:is>
          <x:t xml:space="preserve">Pune</x:t>
        </x:is>
      </x:c>
      <x:c r="E2" s="36" t="n">
        <x:v>44644</x:v>
      </x:c>
      <x:c r="F2" s="37" t="n">
        <x:v>28717</x:v>
      </x:c>
      <x:c r="G2" s="37" t="n">
        <x:v>12923</x:v>
      </x:c>
      <x:c r="H2" s="37" t="n">
        <x:v>2500</x:v>
      </x:c>
      <x:c r="I2" s="37" t="n">
        <x:v>5837</x:v>
      </x:c>
      <x:c r="J2" s="37" t="n">
        <x:v>38303</x:v>
      </x:c>
      <x:c r="K2" s="5" t="inlineStr">
        <x:is>
          <x:t xml:space="preserve">Active</x:t>
        </x:is>
      </x:c>
      <x:c r="L2" s="5" t="inlineStr">
        <x:is>
          <x:t xml:space="preserve">Verified</x:t>
        </x:is>
      </x:c>
      <x:c r="M2" s="9" t="n">
        <x:v>18</x:v>
      </x:c>
      <x:c r="N2" s="9" t="n">
        <x:v>1</x:v>
      </x:c>
      <x:c r="O2" s="5" t="inlineStr">
        <x:is>
          <x:t xml:space="preserve">Processed</x:t>
        </x:is>
      </x:c>
    </x:row>
    <x:row r="3">
      <x:c r="A3" s="5" t="inlineStr">
        <x:is>
          <x:t xml:space="preserve">EMP76237</x:t>
        </x:is>
      </x:c>
      <x:c r="B3" s="6" t="inlineStr">
        <x:is>
          <x:t xml:space="preserve">Aisha Nair</x:t>
        </x:is>
      </x:c>
      <x:c r="C3" s="6" t="inlineStr">
        <x:is>
          <x:t xml:space="preserve">Benefits Team</x:t>
        </x:is>
      </x:c>
      <x:c r="D3" s="5" t="inlineStr">
        <x:is>
          <x:t xml:space="preserve">Noida</x:t>
        </x:is>
      </x:c>
      <x:c r="E3" s="36" t="n">
        <x:v>44792</x:v>
      </x:c>
      <x:c r="F3" s="37" t="n">
        <x:v>40231</x:v>
      </x:c>
      <x:c r="G3" s="37" t="n">
        <x:v>14081</x:v>
      </x:c>
      <x:c r="H3" s="37" t="n">
        <x:v>3000</x:v>
      </x:c>
      <x:c r="I3" s="37" t="n">
        <x:v>6719</x:v>
      </x:c>
      <x:c r="J3" s="37" t="n">
        <x:v>50593</x:v>
      </x:c>
      <x:c r="K3" s="5" t="inlineStr">
        <x:is>
          <x:t xml:space="preserve">Active</x:t>
        </x:is>
      </x:c>
      <x:c r="L3" s="5" t="inlineStr">
        <x:is>
          <x:t xml:space="preserve">Pending</x:t>
        </x:is>
      </x:c>
      <x:c r="M3" s="9" t="n">
        <x:v>22</x:v>
      </x:c>
      <x:c r="N3" s="9" t="n">
        <x:v>2</x:v>
      </x:c>
      <x:c r="O3" s="5" t="inlineStr">
        <x:is>
          <x:t xml:space="preserve">Processed</x:t>
        </x:is>
      </x:c>
    </x:row>
    <x:row r="4">
      <x:c r="A4" s="5" t="inlineStr">
        <x:is>
          <x:t xml:space="preserve">EMP54118</x:t>
        </x:is>
      </x:c>
      <x:c r="B4" s="6" t="inlineStr">
        <x:is>
          <x:t xml:space="preserve">David Brown</x:t>
        </x:is>
      </x:c>
      <x:c r="C4" s="6" t="inlineStr">
        <x:is>
          <x:t xml:space="preserve">Risk Advisory</x:t>
        </x:is>
      </x:c>
      <x:c r="D4" s="5" t="inlineStr">
        <x:is>
          <x:t xml:space="preserve">Bengaluru</x:t>
        </x:is>
      </x:c>
      <x:c r="E4" s="36" t="n">
        <x:v>45097</x:v>
      </x:c>
      <x:c r="F4" s="37" t="n">
        <x:v>39335</x:v>
      </x:c>
      <x:c r="G4" s="37" t="n">
        <x:v>13767</x:v>
      </x:c>
      <x:c r="H4" s="37" t="n">
        <x:v>12000</x:v>
      </x:c>
      <x:c r="I4" s="37" t="n">
        <x:v>5392</x:v>
      </x:c>
      <x:c r="J4" s="37" t="n">
        <x:v>59710</x:v>
      </x:c>
      <x:c r="K4" s="5" t="inlineStr">
        <x:is>
          <x:t xml:space="preserve">Verified</x:t>
        </x:is>
      </x:c>
      <x:c r="L4" s="5" t="inlineStr">
        <x:is>
          <x:t xml:space="preserve">Pending</x:t>
        </x:is>
      </x:c>
      <x:c r="M4" s="9" t="n">
        <x:v>19</x:v>
      </x:c>
      <x:c r="N4" s="9" t="n">
        <x:v>8</x:v>
      </x:c>
      <x:c r="O4" s="5" t="inlineStr">
        <x:is>
          <x:t xml:space="preserve">Processed</x:t>
        </x:is>
      </x:c>
    </x:row>
    <x:row r="5">
      <x:c r="A5" s="5" t="inlineStr">
        <x:is>
          <x:t xml:space="preserve">EMP92397</x:t>
        </x:is>
      </x:c>
      <x:c r="B5" s="6" t="inlineStr">
        <x:is>
          <x:t xml:space="preserve">Pooja Patel</x:t>
        </x:is>
      </x:c>
      <x:c r="C5" s="6" t="inlineStr">
        <x:is>
          <x:t xml:space="preserve">Benefits Team</x:t>
        </x:is>
      </x:c>
      <x:c r="D5" s="5" t="inlineStr">
        <x:is>
          <x:t xml:space="preserve">Bengaluru</x:t>
        </x:is>
      </x:c>
      <x:c r="E5" s="36" t="n">
        <x:v>44508</x:v>
      </x:c>
      <x:c r="F5" s="37" t="n">
        <x:v>72663</x:v>
      </x:c>
      <x:c r="G5" s="37" t="n">
        <x:v>29065</x:v>
      </x:c>
      <x:c r="H5" s="37" t="n">
        <x:v>2500</x:v>
      </x:c>
      <x:c r="I5" s="37" t="n">
        <x:v>2907</x:v>
      </x:c>
      <x:c r="J5" s="37" t="n">
        <x:v>101321</x:v>
      </x:c>
      <x:c r="K5" s="5" t="inlineStr">
        <x:is>
          <x:t xml:space="preserve">Verified</x:t>
        </x:is>
      </x:c>
      <x:c r="L5" s="5" t="inlineStr">
        <x:is>
          <x:t xml:space="preserve">Pending</x:t>
        </x:is>
      </x:c>
      <x:c r="M5" s="9" t="n">
        <x:v>22</x:v>
      </x:c>
      <x:c r="N5" s="9" t="n">
        <x:v>7</x:v>
      </x:c>
      <x:c r="O5" s="5" t="inlineStr">
        <x:is>
          <x:t xml:space="preserve">Processed</x:t>
        </x:is>
      </x:c>
    </x:row>
    <x:row r="6">
      <x:c r="A6" s="5" t="inlineStr">
        <x:is>
          <x:t xml:space="preserve">EMP57819</x:t>
        </x:is>
      </x:c>
      <x:c r="B6" s="6" t="inlineStr">
        <x:is>
          <x:t xml:space="preserve">Ethan Kumar</x:t>
        </x:is>
      </x:c>
      <x:c r="C6" s="6" t="inlineStr">
        <x:is>
          <x:t xml:space="preserve">IT Support</x:t>
        </x:is>
      </x:c>
      <x:c r="D6" s="5" t="inlineStr">
        <x:is>
          <x:t xml:space="preserve">Pune</x:t>
        </x:is>
      </x:c>
      <x:c r="E6" s="36" t="n">
        <x:v>45282</x:v>
      </x:c>
      <x:c r="F6" s="37" t="n">
        <x:v>64469</x:v>
      </x:c>
      <x:c r="G6" s="37" t="n">
        <x:v>22564</x:v>
      </x:c>
      <x:c r="H6" s="37" t="n">
        <x:v>3000</x:v>
      </x:c>
      <x:c r="I6" s="37" t="n">
        <x:v>5375</x:v>
      </x:c>
      <x:c r="J6" s="37" t="n">
        <x:v>84658</x:v>
      </x:c>
      <x:c r="K6" s="5" t="inlineStr">
        <x:is>
          <x:t xml:space="preserve">Pending Verification</x:t>
        </x:is>
      </x:c>
      <x:c r="L6" s="5" t="inlineStr">
        <x:is>
          <x:t xml:space="preserve">Verified</x:t>
        </x:is>
      </x:c>
      <x:c r="M6" s="9" t="n">
        <x:v>20</x:v>
      </x:c>
      <x:c r="N6" s="9" t="n">
        <x:v>7</x:v>
      </x:c>
      <x:c r="O6" s="5" t="inlineStr">
        <x:is>
          <x:t xml:space="preserve">Processed</x:t>
        </x:is>
      </x:c>
    </x:row>
    <x:row r="7">
      <x:c r="A7" s="5" t="inlineStr">
        <x:is>
          <x:t xml:space="preserve">EMP93886</x:t>
        </x:is>
      </x:c>
      <x:c r="B7" s="6" t="inlineStr">
        <x:is>
          <x:t xml:space="preserve">James Reddy</x:t>
        </x:is>
      </x:c>
      <x:c r="C7" s="6" t="inlineStr">
        <x:is>
          <x:t xml:space="preserve">IT Support</x:t>
        </x:is>
      </x:c>
      <x:c r="D7" s="5" t="inlineStr">
        <x:is>
          <x:t xml:space="preserve">Hyderabad</x:t>
        </x:is>
      </x:c>
      <x:c r="E7" s="36" t="n">
        <x:v>44587</x:v>
      </x:c>
      <x:c r="F7" s="37" t="n">
        <x:v>42673</x:v>
      </x:c>
      <x:c r="G7" s="37" t="n">
        <x:v>17069</x:v>
      </x:c>
      <x:c r="H7" s="37" t="n">
        <x:v>6000</x:v>
      </x:c>
      <x:c r="I7" s="37" t="n">
        <x:v>1542</x:v>
      </x:c>
      <x:c r="J7" s="37" t="n">
        <x:v>64200</x:v>
      </x:c>
      <x:c r="K7" s="5" t="inlineStr">
        <x:is>
          <x:t xml:space="preserve">Verified</x:t>
        </x:is>
      </x:c>
      <x:c r="L7" s="5" t="inlineStr">
        <x:is>
          <x:t xml:space="preserve">Pending</x:t>
        </x:is>
      </x:c>
      <x:c r="M7" s="9" t="n">
        <x:v>21</x:v>
      </x:c>
      <x:c r="N7" s="9" t="n">
        <x:v>7</x:v>
      </x:c>
      <x:c r="O7" s="5" t="inlineStr">
        <x:is>
          <x:t xml:space="preserve">Processed</x:t>
        </x:is>
      </x:c>
    </x:row>
    <x:row r="8">
      <x:c r="A8" s="5" t="inlineStr">
        <x:is>
          <x:t xml:space="preserve">EMP94259</x:t>
        </x:is>
      </x:c>
      <x:c r="B8" s="6" t="inlineStr">
        <x:is>
          <x:t xml:space="preserve">Vikram Desai</x:t>
        </x:is>
      </x:c>
      <x:c r="C8" s="6" t="inlineStr">
        <x:is>
          <x:t xml:space="preserve">Talent Ops</x:t>
        </x:is>
      </x:c>
      <x:c r="D8" s="5" t="inlineStr">
        <x:is>
          <x:t xml:space="preserve">Mumbai</x:t>
        </x:is>
      </x:c>
      <x:c r="E8" s="36" t="n">
        <x:v>44913</x:v>
      </x:c>
      <x:c r="F8" s="37" t="n">
        <x:v>57322</x:v>
      </x:c>
      <x:c r="G8" s="37" t="n">
        <x:v>22929</x:v>
      </x:c>
      <x:c r="H8" s="37" t="n">
        <x:v>9000</x:v>
      </x:c>
      <x:c r="I8" s="37" t="n">
        <x:v>5780</x:v>
      </x:c>
      <x:c r="J8" s="37" t="n">
        <x:v>83471</x:v>
      </x:c>
      <x:c r="K8" s="5" t="inlineStr">
        <x:is>
          <x:t xml:space="preserve">Active</x:t>
        </x:is>
      </x:c>
      <x:c r="L8" s="5" t="inlineStr">
        <x:is>
          <x:t xml:space="preserve">Pending</x:t>
        </x:is>
      </x:c>
      <x:c r="M8" s="9" t="n">
        <x:v>21</x:v>
      </x:c>
      <x:c r="N8" s="9" t="n">
        <x:v>2</x:v>
      </x:c>
      <x:c r="O8" s="5" t="inlineStr">
        <x:is>
          <x:t xml:space="preserve">Processed</x:t>
        </x:is>
      </x:c>
    </x:row>
    <x:row r="9">
      <x:c r="A9" s="5" t="inlineStr">
        <x:is>
          <x:t xml:space="preserve">EMP21915</x:t>
        </x:is>
      </x:c>
      <x:c r="B9" s="6" t="inlineStr">
        <x:is>
          <x:t xml:space="preserve">Amira Thompson</x:t>
        </x:is>
      </x:c>
      <x:c r="C9" s="6" t="inlineStr">
        <x:is>
          <x:t xml:space="preserve">HR Shared Services</x:t>
        </x:is>
      </x:c>
      <x:c r="D9" s="5" t="inlineStr">
        <x:is>
          <x:t xml:space="preserve">Mumbai</x:t>
        </x:is>
      </x:c>
      <x:c r="E9" s="36" t="n">
        <x:v>44879</x:v>
      </x:c>
      <x:c r="F9" s="37" t="n">
        <x:v>61086</x:v>
      </x:c>
      <x:c r="G9" s="37" t="n">
        <x:v>21380</x:v>
      </x:c>
      <x:c r="H9" s="37" t="n">
        <x:v>9000</x:v>
      </x:c>
      <x:c r="I9" s="37" t="n">
        <x:v>4126</x:v>
      </x:c>
      <x:c r="J9" s="37" t="n">
        <x:v>87340</x:v>
      </x:c>
      <x:c r="K9" s="5" t="inlineStr">
        <x:is>
          <x:t xml:space="preserve">Pending Verification</x:t>
        </x:is>
      </x:c>
      <x:c r="L9" s="5" t="inlineStr">
        <x:is>
          <x:t xml:space="preserve">Pending</x:t>
        </x:is>
      </x:c>
      <x:c r="M9" s="9" t="n">
        <x:v>26</x:v>
      </x:c>
      <x:c r="N9" s="9" t="n">
        <x:v>2</x:v>
      </x:c>
      <x:c r="O9" s="5" t="inlineStr">
        <x:is>
          <x:t xml:space="preserve">Hold</x:t>
        </x:is>
      </x:c>
    </x:row>
    <x:row r="10">
      <x:c r="A10" s="5" t="inlineStr">
        <x:is>
          <x:t xml:space="preserve">EMP11504</x:t>
        </x:is>
      </x:c>
      <x:c r="B10" s="6" t="inlineStr">
        <x:is>
          <x:t xml:space="preserve">Deepika Reddy</x:t>
        </x:is>
      </x:c>
      <x:c r="C10" s="6" t="inlineStr">
        <x:is>
          <x:t xml:space="preserve">Tax Support</x:t>
        </x:is>
      </x:c>
      <x:c r="D10" s="5" t="inlineStr">
        <x:is>
          <x:t xml:space="preserve">Chennai</x:t>
        </x:is>
      </x:c>
      <x:c r="E10" s="36" t="n">
        <x:v>44967</x:v>
      </x:c>
      <x:c r="F10" s="37" t="n">
        <x:v>50492</x:v>
      </x:c>
      <x:c r="G10" s="37" t="n">
        <x:v>17672</x:v>
      </x:c>
      <x:c r="H10" s="37" t="n">
        <x:v>12000</x:v>
      </x:c>
      <x:c r="I10" s="37" t="n">
        <x:v>1026</x:v>
      </x:c>
      <x:c r="J10" s="37" t="n">
        <x:v>79138</x:v>
      </x:c>
      <x:c r="K10" s="5" t="inlineStr">
        <x:is>
          <x:t xml:space="preserve">Pending Verification</x:t>
        </x:is>
      </x:c>
      <x:c r="L10" s="5" t="inlineStr">
        <x:is>
          <x:t xml:space="preserve">Pending</x:t>
        </x:is>
      </x:c>
      <x:c r="M10" s="9" t="n">
        <x:v>26</x:v>
      </x:c>
      <x:c r="N10" s="9" t="n">
        <x:v>1</x:v>
      </x:c>
      <x:c r="O10" s="5" t="inlineStr">
        <x:is>
          <x:t xml:space="preserve">Processed</x:t>
        </x:is>
      </x:c>
    </x:row>
    <x:row r="11">
      <x:c r="A11" s="5" t="inlineStr">
        <x:is>
          <x:t xml:space="preserve">EMP23947</x:t>
        </x:is>
      </x:c>
      <x:c r="B11" s="6" t="inlineStr">
        <x:is>
          <x:t xml:space="preserve">Meera Thomas</x:t>
        </x:is>
      </x:c>
      <x:c r="C11" s="6" t="inlineStr">
        <x:is>
          <x:t xml:space="preserve">Tax Support</x:t>
        </x:is>
      </x:c>
      <x:c r="D11" s="5" t="inlineStr">
        <x:is>
          <x:t xml:space="preserve">Pune</x:t>
        </x:is>
      </x:c>
      <x:c r="E11" s="36" t="n">
        <x:v>44737</x:v>
      </x:c>
      <x:c r="F11" s="37" t="n">
        <x:v>32587</x:v>
      </x:c>
      <x:c r="G11" s="37" t="n">
        <x:v>14664</x:v>
      </x:c>
      <x:c r="H11" s="37" t="n">
        <x:v>1500</x:v>
      </x:c>
      <x:c r="I11" s="37" t="n">
        <x:v>5906</x:v>
      </x:c>
      <x:c r="J11" s="37" t="n">
        <x:v>42845</x:v>
      </x:c>
      <x:c r="K11" s="5" t="inlineStr">
        <x:is>
          <x:t xml:space="preserve">Active</x:t>
        </x:is>
      </x:c>
      <x:c r="L11" s="5" t="inlineStr">
        <x:is>
          <x:t xml:space="preserve">Pending</x:t>
        </x:is>
      </x:c>
      <x:c r="M11" s="9" t="n">
        <x:v>18</x:v>
      </x:c>
      <x:c r="N11" s="9" t="n">
        <x:v>1</x:v>
      </x:c>
      <x:c r="O11" s="5" t="inlineStr">
        <x:is>
          <x:t xml:space="preserve">Pending</x:t>
        </x:is>
      </x:c>
    </x:row>
    <x:row r="12">
      <x:c r="A12" s="5" t="inlineStr">
        <x:is>
          <x:t xml:space="preserve">EMP50306</x:t>
        </x:is>
      </x:c>
      <x:c r="B12" s="6" t="inlineStr">
        <x:is>
          <x:t xml:space="preserve">Kavya Bose</x:t>
        </x:is>
      </x:c>
      <x:c r="C12" s="6" t="inlineStr">
        <x:is>
          <x:t xml:space="preserve">Benefits Team</x:t>
        </x:is>
      </x:c>
      <x:c r="D12" s="5" t="inlineStr">
        <x:is>
          <x:t xml:space="preserve">Bengaluru</x:t>
        </x:is>
      </x:c>
      <x:c r="E12" s="36" t="n">
        <x:v>44546</x:v>
      </x:c>
      <x:c r="F12" s="37" t="n">
        <x:v>75478</x:v>
      </x:c>
      <x:c r="G12" s="37" t="n">
        <x:v>26417</x:v>
      </x:c>
      <x:c r="H12" s="37" t="n">
        <x:v>3000</x:v>
      </x:c>
      <x:c r="I12" s="37" t="n">
        <x:v>2051</x:v>
      </x:c>
      <x:c r="J12" s="37" t="n">
        <x:v>102844</x:v>
      </x:c>
      <x:c r="K12" s="5" t="inlineStr">
        <x:is>
          <x:t xml:space="preserve">Pending Verification</x:t>
        </x:is>
      </x:c>
      <x:c r="L12" s="5" t="inlineStr">
        <x:is>
          <x:t xml:space="preserve">Pending</x:t>
        </x:is>
      </x:c>
      <x:c r="M12" s="9" t="n">
        <x:v>26</x:v>
      </x:c>
      <x:c r="N12" s="9" t="n">
        <x:v>13</x:v>
      </x:c>
      <x:c r="O12" s="5" t="inlineStr">
        <x:is>
          <x:t xml:space="preserve">Processed</x:t>
        </x:is>
      </x:c>
    </x:row>
    <x:row r="13">
      <x:c r="A13" s="5" t="inlineStr">
        <x:is>
          <x:t xml:space="preserve">EMP89507</x:t>
        </x:is>
      </x:c>
      <x:c r="B13" s="6" t="inlineStr">
        <x:is>
          <x:t xml:space="preserve">Sneha Harris</x:t>
        </x:is>
      </x:c>
      <x:c r="C13" s="6" t="inlineStr">
        <x:is>
          <x:t xml:space="preserve">Tax Support</x:t>
        </x:is>
      </x:c>
      <x:c r="D13" s="5" t="inlineStr">
        <x:is>
          <x:t xml:space="preserve">Pune</x:t>
        </x:is>
      </x:c>
      <x:c r="E13" s="36" t="n">
        <x:v>45129</x:v>
      </x:c>
      <x:c r="F13" s="37" t="n">
        <x:v>64590</x:v>
      </x:c>
      <x:c r="G13" s="37" t="n">
        <x:v>25836</x:v>
      </x:c>
      <x:c r="H13" s="37" t="n">
        <x:v>12000</x:v>
      </x:c>
      <x:c r="I13" s="37" t="n">
        <x:v>5239</x:v>
      </x:c>
      <x:c r="J13" s="37" t="n">
        <x:v>97187</x:v>
      </x:c>
      <x:c r="K13" s="5" t="inlineStr">
        <x:is>
          <x:t xml:space="preserve">Active</x:t>
        </x:is>
      </x:c>
      <x:c r="L13" s="5" t="inlineStr">
        <x:is>
          <x:t xml:space="preserve">Verified</x:t>
        </x:is>
      </x:c>
      <x:c r="M13" s="9" t="n">
        <x:v>21</x:v>
      </x:c>
      <x:c r="N13" s="9" t="n">
        <x:v>3</x:v>
      </x:c>
      <x:c r="O13" s="5" t="inlineStr">
        <x:is>
          <x:t xml:space="preserve">Processed</x:t>
        </x:is>
      </x:c>
    </x:row>
    <x:row r="14">
      <x:c r="A14" s="5" t="inlineStr">
        <x:is>
          <x:t xml:space="preserve">EMP12757</x:t>
        </x:is>
      </x:c>
      <x:c r="B14" s="6" t="inlineStr">
        <x:is>
          <x:t xml:space="preserve">James Patel</x:t>
        </x:is>
      </x:c>
      <x:c r="C14" s="6" t="inlineStr">
        <x:is>
          <x:t xml:space="preserve">Benefits Team</x:t>
        </x:is>
      </x:c>
      <x:c r="D14" s="5" t="inlineStr">
        <x:is>
          <x:t xml:space="preserve">Hyderabad</x:t>
        </x:is>
      </x:c>
      <x:c r="E14" s="36" t="n">
        <x:v>44551</x:v>
      </x:c>
      <x:c r="F14" s="37" t="n">
        <x:v>25858</x:v>
      </x:c>
      <x:c r="G14" s="37" t="n">
        <x:v>9050</x:v>
      </x:c>
      <x:c r="H14" s="37" t="n">
        <x:v>2500</x:v>
      </x:c>
      <x:c r="I14" s="37" t="n">
        <x:v>1257</x:v>
      </x:c>
      <x:c r="J14" s="37" t="n">
        <x:v>36151</x:v>
      </x:c>
      <x:c r="K14" s="5" t="inlineStr">
        <x:is>
          <x:t xml:space="preserve">Active</x:t>
        </x:is>
      </x:c>
      <x:c r="L14" s="5" t="inlineStr">
        <x:is>
          <x:t xml:space="preserve">Verified</x:t>
        </x:is>
      </x:c>
      <x:c r="M14" s="9" t="n">
        <x:v>26</x:v>
      </x:c>
      <x:c r="N14" s="9" t="n">
        <x:v>1</x:v>
      </x:c>
      <x:c r="O14" s="5" t="inlineStr">
        <x:is>
          <x:t xml:space="preserve">Processed</x:t>
        </x:is>
      </x:c>
    </x:row>
    <x:row r="15">
      <x:c r="A15" s="5" t="inlineStr">
        <x:is>
          <x:t xml:space="preserve">EMP73624</x:t>
        </x:is>
      </x:c>
      <x:c r="B15" s="6" t="inlineStr">
        <x:is>
          <x:t xml:space="preserve">Isla Nair</x:t>
        </x:is>
      </x:c>
      <x:c r="C15" s="6" t="inlineStr">
        <x:is>
          <x:t xml:space="preserve">Finance Ops</x:t>
        </x:is>
      </x:c>
      <x:c r="D15" s="5" t="inlineStr">
        <x:is>
          <x:t xml:space="preserve">Kolkata</x:t>
        </x:is>
      </x:c>
      <x:c r="E15" s="36" t="n">
        <x:v>44799</x:v>
      </x:c>
      <x:c r="F15" s="37" t="n">
        <x:v>48677</x:v>
      </x:c>
      <x:c r="G15" s="37" t="n">
        <x:v>17037</x:v>
      </x:c>
      <x:c r="H15" s="37" t="n">
        <x:v>2500</x:v>
      </x:c>
      <x:c r="I15" s="37" t="n">
        <x:v>1794</x:v>
      </x:c>
      <x:c r="J15" s="37" t="n">
        <x:v>66420</x:v>
      </x:c>
      <x:c r="K15" s="5" t="inlineStr">
        <x:is>
          <x:t xml:space="preserve">Pending Verification</x:t>
        </x:is>
      </x:c>
      <x:c r="L15" s="5" t="inlineStr">
        <x:is>
          <x:t xml:space="preserve">Pending</x:t>
        </x:is>
      </x:c>
      <x:c r="M15" s="9" t="n">
        <x:v>23</x:v>
      </x:c>
      <x:c r="N15" s="9" t="n">
        <x:v>6</x:v>
      </x:c>
      <x:c r="O15" s="5" t="inlineStr">
        <x:is>
          <x:t xml:space="preserve">Processed</x:t>
        </x:is>
      </x:c>
    </x:row>
    <x:row r="16">
      <x:c r="A16" s="5" t="inlineStr">
        <x:is>
          <x:t xml:space="preserve">EMP17100</x:t>
        </x:is>
      </x:c>
      <x:c r="B16" s="6" t="inlineStr">
        <x:is>
          <x:t xml:space="preserve">David Bose</x:t>
        </x:is>
      </x:c>
      <x:c r="C16" s="6" t="inlineStr">
        <x:is>
          <x:t xml:space="preserve">Risk Advisory</x:t>
        </x:is>
      </x:c>
      <x:c r="D16" s="5" t="inlineStr">
        <x:is>
          <x:t xml:space="preserve">Gurgaon</x:t>
        </x:is>
      </x:c>
      <x:c r="E16" s="36" t="n">
        <x:v>44293</x:v>
      </x:c>
      <x:c r="F16" s="37" t="n">
        <x:v>34465</x:v>
      </x:c>
      <x:c r="G16" s="37" t="n">
        <x:v>15509</x:v>
      </x:c>
      <x:c r="H16" s="37" t="n">
        <x:v>12000</x:v>
      </x:c>
      <x:c r="I16" s="37" t="n">
        <x:v>2148</x:v>
      </x:c>
      <x:c r="J16" s="37" t="n">
        <x:v>59826</x:v>
      </x:c>
      <x:c r="K16" s="5" t="inlineStr">
        <x:is>
          <x:t xml:space="preserve">Active</x:t>
        </x:is>
      </x:c>
      <x:c r="L16" s="5" t="inlineStr">
        <x:is>
          <x:t xml:space="preserve">Verified</x:t>
        </x:is>
      </x:c>
      <x:c r="M16" s="9" t="n">
        <x:v>22</x:v>
      </x:c>
      <x:c r="N16" s="9" t="n">
        <x:v>7</x:v>
      </x:c>
      <x:c r="O16" s="5" t="inlineStr">
        <x:is>
          <x:t xml:space="preserve">Processed</x:t>
        </x:is>
      </x:c>
    </x:row>
    <x:row r="17">
      <x:c r="A17" s="5" t="inlineStr">
        <x:is>
          <x:t xml:space="preserve">EMP19880</x:t>
        </x:is>
      </x:c>
      <x:c r="B17" s="6" t="inlineStr">
        <x:is>
          <x:t xml:space="preserve">Sophie Taylor</x:t>
        </x:is>
      </x:c>
      <x:c r="C17" s="6" t="inlineStr">
        <x:is>
          <x:t xml:space="preserve">Tax Support</x:t>
        </x:is>
      </x:c>
      <x:c r="D17" s="5" t="inlineStr">
        <x:is>
          <x:t xml:space="preserve">Bengaluru</x:t>
        </x:is>
      </x:c>
      <x:c r="E17" s="36" t="n">
        <x:v>44518</x:v>
      </x:c>
      <x:c r="F17" s="37" t="n">
        <x:v>76789</x:v>
      </x:c>
      <x:c r="G17" s="37" t="n">
        <x:v>26876</x:v>
      </x:c>
      <x:c r="H17" s="37" t="n">
        <x:v>2500</x:v>
      </x:c>
      <x:c r="I17" s="37" t="n">
        <x:v>7173</x:v>
      </x:c>
      <x:c r="J17" s="37" t="n">
        <x:v>98992</x:v>
      </x:c>
      <x:c r="K17" s="5" t="inlineStr">
        <x:is>
          <x:t xml:space="preserve">Verified</x:t>
        </x:is>
      </x:c>
      <x:c r="L17" s="5" t="inlineStr">
        <x:is>
          <x:t xml:space="preserve">Verified</x:t>
        </x:is>
      </x:c>
      <x:c r="M17" s="9" t="n">
        <x:v>24</x:v>
      </x:c>
      <x:c r="N17" s="9" t="n">
        <x:v>7</x:v>
      </x:c>
      <x:c r="O17" s="5" t="inlineStr">
        <x:is>
          <x:t xml:space="preserve">Processed</x:t>
        </x:is>
      </x:c>
    </x:row>
    <x:row r="18">
      <x:c r="A18" s="5" t="inlineStr">
        <x:is>
          <x:t xml:space="preserve">EMP62565</x:t>
        </x:is>
      </x:c>
      <x:c r="B18" s="6" t="n"/>
      <x:c r="C18" s="6" t="inlineStr">
        <x:is>
          <x:t xml:space="preserve">Risk Advisory</x:t>
        </x:is>
      </x:c>
      <x:c r="D18" s="5" t="inlineStr">
        <x:is>
          <x:t xml:space="preserve">Hyderabad</x:t>
        </x:is>
      </x:c>
      <x:c r="E18" s="36" t="n">
        <x:v>45438</x:v>
      </x:c>
      <x:c r="F18" s="37" t="n">
        <x:v>73454</x:v>
      </x:c>
      <x:c r="G18" s="37" t="n">
        <x:v>29382</x:v>
      </x:c>
      <x:c r="H18" s="37" t="n">
        <x:v>6000</x:v>
      </x:c>
      <x:c r="I18" s="37" t="n">
        <x:v>4465</x:v>
      </x:c>
      <x:c r="J18" s="37" t="n">
        <x:v>104371</x:v>
      </x:c>
      <x:c r="K18" s="5" t="inlineStr">
        <x:is>
          <x:t xml:space="preserve">Pending Verification</x:t>
        </x:is>
      </x:c>
      <x:c r="L18" s="5" t="inlineStr">
        <x:is>
          <x:t xml:space="preserve">Pending</x:t>
        </x:is>
      </x:c>
      <x:c r="M18" s="9" t="n">
        <x:v>20</x:v>
      </x:c>
      <x:c r="N18" s="9" t="n">
        <x:v>3</x:v>
      </x:c>
      <x:c r="O18" s="5" t="inlineStr">
        <x:is>
          <x:t xml:space="preserve">Processed</x:t>
        </x:is>
      </x:c>
    </x:row>
    <x:row r="19">
      <x:c r="A19" s="5" t="inlineStr">
        <x:is>
          <x:t xml:space="preserve">EMP17665</x:t>
        </x:is>
      </x:c>
      <x:c r="B19" s="6" t="inlineStr">
        <x:is>
          <x:t xml:space="preserve">Amira Sharma</x:t>
        </x:is>
      </x:c>
      <x:c r="C19" s="6" t="inlineStr">
        <x:is>
          <x:t xml:space="preserve">IT Support</x:t>
        </x:is>
      </x:c>
      <x:c r="D19" s="5" t="inlineStr">
        <x:is>
          <x:t xml:space="preserve">Hyderabad</x:t>
        </x:is>
      </x:c>
      <x:c r="E19" s="36" t="n">
        <x:v>44485</x:v>
      </x:c>
      <x:c r="F19" s="37" t="n">
        <x:v>54954</x:v>
      </x:c>
      <x:c r="G19" s="37" t="n">
        <x:v>24729</x:v>
      </x:c>
      <x:c r="H19" s="37" t="n">
        <x:v>3000</x:v>
      </x:c>
      <x:c r="I19" s="37" t="n">
        <x:v>1465</x:v>
      </x:c>
      <x:c r="J19" s="37" t="n">
        <x:v>79118</x:v>
      </x:c>
      <x:c r="K19" s="5" t="inlineStr">
        <x:is>
          <x:t xml:space="preserve">Pending Verification</x:t>
        </x:is>
      </x:c>
      <x:c r="L19" s="5" t="inlineStr">
        <x:is>
          <x:t xml:space="preserve">Verified</x:t>
        </x:is>
      </x:c>
      <x:c r="M19" s="9" t="n">
        <x:v>31</x:v>
      </x:c>
      <x:c r="N19" s="9" t="n">
        <x:v>0</x:v>
      </x:c>
      <x:c r="O19" s="5" t="inlineStr">
        <x:is>
          <x:t xml:space="preserve">Processed</x:t>
        </x:is>
      </x:c>
    </x:row>
    <x:row r="20">
      <x:c r="A20" s="5" t="inlineStr">
        <x:is>
          <x:t xml:space="preserve">EMP18907</x:t>
        </x:is>
      </x:c>
      <x:c r="B20" s="6" t="inlineStr">
        <x:is>
          <x:t xml:space="preserve">Kavya Lee</x:t>
        </x:is>
      </x:c>
      <x:c r="C20" s="6" t="inlineStr">
        <x:is>
          <x:t xml:space="preserve">HR Shared Services</x:t>
        </x:is>
      </x:c>
      <x:c r="D20" s="5" t="inlineStr">
        <x:is>
          <x:t xml:space="preserve">Pune</x:t>
        </x:is>
      </x:c>
      <x:c r="E20" s="36" t="n">
        <x:v>44472</x:v>
      </x:c>
      <x:c r="F20" s="37" t="n">
        <x:v>49474</x:v>
      </x:c>
      <x:c r="G20" s="37" t="n">
        <x:v>22263</x:v>
      </x:c>
      <x:c r="H20" s="37" t="n">
        <x:v>7500</x:v>
      </x:c>
      <x:c r="I20" s="37" t="n">
        <x:v>3136</x:v>
      </x:c>
      <x:c r="J20" s="37" t="n">
        <x:v>76101</x:v>
      </x:c>
      <x:c r="K20" s="5" t="inlineStr">
        <x:is>
          <x:t xml:space="preserve">Verified</x:t>
        </x:is>
      </x:c>
      <x:c r="L20" s="5" t="inlineStr">
        <x:is>
          <x:t xml:space="preserve">Pending</x:t>
        </x:is>
      </x:c>
      <x:c r="M20" s="9" t="n">
        <x:v>21</x:v>
      </x:c>
      <x:c r="N20" s="9" t="n">
        <x:v>4</x:v>
      </x:c>
      <x:c r="O20" s="5" t="inlineStr">
        <x:is>
          <x:t xml:space="preserve">Processed</x:t>
        </x:is>
      </x:c>
    </x:row>
    <x:row r="21">
      <x:c r="A21" s="5" t="inlineStr">
        <x:is>
          <x:t xml:space="preserve">EMP98039</x:t>
        </x:is>
      </x:c>
      <x:c r="B21" s="6" t="inlineStr">
        <x:is>
          <x:t xml:space="preserve">Meera Mehta</x:t>
        </x:is>
      </x:c>
      <x:c r="C21" s="6" t="inlineStr">
        <x:is>
          <x:t xml:space="preserve">IT Support</x:t>
        </x:is>
      </x:c>
      <x:c r="D21" s="5" t="inlineStr">
        <x:is>
          <x:t xml:space="preserve">Bengaluru</x:t>
        </x:is>
      </x:c>
      <x:c r="E21" s="36" t="n">
        <x:v>44428</x:v>
      </x:c>
      <x:c r="F21" s="37" t="n">
        <x:v>58896</x:v>
      </x:c>
      <x:c r="G21" s="37" t="n">
        <x:v>20614</x:v>
      </x:c>
      <x:c r="H21" s="37" t="n">
        <x:v>2500</x:v>
      </x:c>
      <x:c r="I21" s="37" t="n">
        <x:v>5404</x:v>
      </x:c>
      <x:c r="J21" s="37" t="n">
        <x:v>76606</x:v>
      </x:c>
      <x:c r="K21" s="5" t="inlineStr">
        <x:is>
          <x:t xml:space="preserve">Verified</x:t>
        </x:is>
      </x:c>
      <x:c r="L21" s="5" t="inlineStr">
        <x:is>
          <x:t xml:space="preserve">Pending</x:t>
        </x:is>
      </x:c>
      <x:c r="M21" s="9" t="n">
        <x:v>20</x:v>
      </x:c>
      <x:c r="N21" s="9" t="n">
        <x:v>5</x:v>
      </x:c>
      <x:c r="O21" s="5" t="inlineStr">
        <x:is>
          <x:t xml:space="preserve">Pending</x:t>
        </x:is>
      </x:c>
    </x:row>
    <x:row r="22">
      <x:c r="A22" s="5" t="inlineStr">
        <x:is>
          <x:t xml:space="preserve">EMP42018</x:t>
        </x:is>
      </x:c>
      <x:c r="B22" s="6" t="inlineStr">
        <x:is>
          <x:t xml:space="preserve">Pooja Johnson</x:t>
        </x:is>
      </x:c>
      <x:c r="C22" s="6" t="inlineStr">
        <x:is>
          <x:t xml:space="preserve">Finance Ops</x:t>
        </x:is>
      </x:c>
      <x:c r="D22" s="5" t="inlineStr">
        <x:is>
          <x:t xml:space="preserve">Kolkata</x:t>
        </x:is>
      </x:c>
      <x:c r="E22" s="36" t="n">
        <x:v>45225</x:v>
      </x:c>
      <x:c r="F22" s="37" t="n">
        <x:v>64858</x:v>
      </x:c>
      <x:c r="G22" s="37" t="n">
        <x:v>29186</x:v>
      </x:c>
      <x:c r="H22" s="37" t="n">
        <x:v>1500</x:v>
      </x:c>
      <x:c r="I22" s="37" t="n">
        <x:v>6471</x:v>
      </x:c>
      <x:c r="J22" s="37" t="n">
        <x:v>89073</x:v>
      </x:c>
      <x:c r="K22" s="5" t="inlineStr">
        <x:is>
          <x:t xml:space="preserve">Pending Verification</x:t>
        </x:is>
      </x:c>
      <x:c r="L22" s="5" t="inlineStr">
        <x:is>
          <x:t xml:space="preserve">Pending</x:t>
        </x:is>
      </x:c>
      <x:c r="M22" s="9" t="n">
        <x:v>28</x:v>
      </x:c>
      <x:c r="N22" s="9" t="n">
        <x:v>0</x:v>
      </x:c>
      <x:c r="O22" s="5" t="inlineStr">
        <x:is>
          <x:t xml:space="preserve">Hold</x:t>
        </x:is>
      </x:c>
    </x:row>
    <x:row r="23">
      <x:c r="A23" s="5" t="inlineStr">
        <x:is>
          <x:t xml:space="preserve">EMP27601</x:t>
        </x:is>
      </x:c>
      <x:c r="B23" s="6" t="inlineStr">
        <x:is>
          <x:t xml:space="preserve">Kiran Davis</x:t>
        </x:is>
      </x:c>
      <x:c r="C23" s="6" t="inlineStr">
        <x:is>
          <x:t xml:space="preserve">HR Shared Services</x:t>
        </x:is>
      </x:c>
      <x:c r="D23" s="5" t="inlineStr">
        <x:is>
          <x:t xml:space="preserve">Mumbai</x:t>
        </x:is>
      </x:c>
      <x:c r="E23" s="36" t="n">
        <x:v>45066</x:v>
      </x:c>
      <x:c r="F23" s="37" t="n">
        <x:v>35803</x:v>
      </x:c>
      <x:c r="G23" s="37" t="n">
        <x:v>16111</x:v>
      </x:c>
      <x:c r="H23" s="37" t="n">
        <x:v>7500</x:v>
      </x:c>
      <x:c r="I23" s="37" t="n">
        <x:v>2667</x:v>
      </x:c>
      <x:c r="J23" s="37" t="n">
        <x:v>56747</x:v>
      </x:c>
      <x:c r="K23" s="5" t="inlineStr">
        <x:is>
          <x:t xml:space="preserve">Pending Verification</x:t>
        </x:is>
      </x:c>
      <x:c r="L23" s="5" t="inlineStr">
        <x:is>
          <x:t xml:space="preserve">Pending</x:t>
        </x:is>
      </x:c>
      <x:c r="M23" s="9" t="n">
        <x:v>26</x:v>
      </x:c>
      <x:c r="N23" s="9" t="n">
        <x:v>3</x:v>
      </x:c>
      <x:c r="O23" s="5" t="inlineStr">
        <x:is>
          <x:t xml:space="preserve">Processed</x:t>
        </x:is>
      </x:c>
    </x:row>
    <x:row r="24">
      <x:c r="A24" s="5" t="inlineStr">
        <x:is>
          <x:t xml:space="preserve">EMP16658</x:t>
        </x:is>
      </x:c>
      <x:c r="B24" s="6" t="inlineStr">
        <x:is>
          <x:t xml:space="preserve">Arjun Rao</x:t>
        </x:is>
      </x:c>
      <x:c r="C24" s="6" t="inlineStr">
        <x:is>
          <x:t xml:space="preserve">Risk Advisory</x:t>
        </x:is>
      </x:c>
      <x:c r="D24" s="5" t="inlineStr">
        <x:is>
          <x:t xml:space="preserve">Chennai</x:t>
        </x:is>
      </x:c>
      <x:c r="E24" s="36" t="n">
        <x:v>44207</x:v>
      </x:c>
      <x:c r="F24" s="37" t="n">
        <x:v>72536</x:v>
      </x:c>
      <x:c r="G24" s="37" t="n">
        <x:v>25388</x:v>
      </x:c>
      <x:c r="H24" s="37" t="n">
        <x:v>6000</x:v>
      </x:c>
      <x:c r="I24" s="37" t="n">
        <x:v>2323</x:v>
      </x:c>
      <x:c r="J24" s="37" t="n">
        <x:v>101601</x:v>
      </x:c>
      <x:c r="K24" s="5" t="inlineStr">
        <x:is>
          <x:t xml:space="preserve">Pending Verification</x:t>
        </x:is>
      </x:c>
      <x:c r="L24" s="5" t="inlineStr">
        <x:is>
          <x:t xml:space="preserve">Pending</x:t>
        </x:is>
      </x:c>
      <x:c r="M24" s="9" t="n">
        <x:v>26</x:v>
      </x:c>
      <x:c r="N24" s="9" t="n">
        <x:v>5</x:v>
      </x:c>
      <x:c r="O24" s="5" t="inlineStr">
        <x:is>
          <x:t xml:space="preserve">Processed</x:t>
        </x:is>
      </x:c>
    </x:row>
    <x:row r="25">
      <x:c r="A25" s="5" t="inlineStr">
        <x:is>
          <x:t xml:space="preserve">EMP11267</x:t>
        </x:is>
      </x:c>
      <x:c r="B25" s="6" t="inlineStr">
        <x:is>
          <x:t xml:space="preserve">Deepika Brown</x:t>
        </x:is>
      </x:c>
      <x:c r="C25" s="6" t="inlineStr">
        <x:is>
          <x:t xml:space="preserve">Finance Ops</x:t>
        </x:is>
      </x:c>
      <x:c r="D25" s="5" t="inlineStr">
        <x:is>
          <x:t xml:space="preserve">Hyderabad</x:t>
        </x:is>
      </x:c>
      <x:c r="E25" s="36" t="n">
        <x:v>45217</x:v>
      </x:c>
      <x:c r="F25" s="37" t="n">
        <x:v>31705</x:v>
      </x:c>
      <x:c r="G25" s="37" t="n">
        <x:v>12682</x:v>
      </x:c>
      <x:c r="H25" s="37" t="n">
        <x:v>3000</x:v>
      </x:c>
      <x:c r="I25" s="37" t="n">
        <x:v>1342</x:v>
      </x:c>
      <x:c r="J25" s="37" t="n">
        <x:v>46045</x:v>
      </x:c>
      <x:c r="K25" s="5" t="inlineStr">
        <x:is>
          <x:t xml:space="preserve">Active</x:t>
        </x:is>
      </x:c>
      <x:c r="L25" s="5" t="inlineStr">
        <x:is>
          <x:t xml:space="preserve">Pending</x:t>
        </x:is>
      </x:c>
      <x:c r="M25" s="9" t="n">
        <x:v>30</x:v>
      </x:c>
      <x:c r="N25" s="9" t="n">
        <x:v>0</x:v>
      </x:c>
      <x:c r="O25" s="5" t="inlineStr">
        <x:is>
          <x:t xml:space="preserve">Pending</x:t>
        </x:is>
      </x:c>
    </x:row>
    <x:row r="26">
      <x:c r="A26" s="5" t="inlineStr">
        <x:is>
          <x:t xml:space="preserve">EMP37535</x:t>
        </x:is>
      </x:c>
      <x:c r="B26" s="6" t="inlineStr">
        <x:is>
          <x:t xml:space="preserve">Kavya Reddy</x:t>
        </x:is>
      </x:c>
      <x:c r="C26" s="6" t="inlineStr">
        <x:is>
          <x:t xml:space="preserve">HR Shared Services</x:t>
        </x:is>
      </x:c>
      <x:c r="D26" s="5" t="inlineStr">
        <x:is>
          <x:t xml:space="preserve">Gurgaon</x:t>
        </x:is>
      </x:c>
      <x:c r="E26" s="36" t="n">
        <x:v>45589</x:v>
      </x:c>
      <x:c r="F26" s="37" t="n">
        <x:v>32128</x:v>
      </x:c>
      <x:c r="G26" s="37" t="n">
        <x:v>11245</x:v>
      </x:c>
      <x:c r="H26" s="37" t="n">
        <x:v>3000</x:v>
      </x:c>
      <x:c r="I26" s="37" t="n">
        <x:v>7552</x:v>
      </x:c>
      <x:c r="J26" s="37" t="n">
        <x:v>38821</x:v>
      </x:c>
      <x:c r="K26" s="5" t="inlineStr">
        <x:is>
          <x:t xml:space="preserve">Verified</x:t>
        </x:is>
      </x:c>
      <x:c r="L26" s="5" t="inlineStr">
        <x:is>
          <x:t xml:space="preserve">Pending</x:t>
        </x:is>
      </x:c>
      <x:c r="M26" s="9" t="n">
        <x:v>18</x:v>
      </x:c>
      <x:c r="N26" s="9" t="n">
        <x:v>2</x:v>
      </x:c>
      <x:c r="O26" s="5" t="inlineStr">
        <x:is>
          <x:t xml:space="preserve">Processed</x:t>
        </x:is>
      </x:c>
    </x:row>
    <x:row r="27">
      <x:c r="A27" s="5" t="inlineStr">
        <x:is>
          <x:t xml:space="preserve">EMP53540</x:t>
        </x:is>
      </x:c>
      <x:c r="B27" s="6" t="inlineStr">
        <x:is>
          <x:t xml:space="preserve">Rohan Taylor</x:t>
        </x:is>
      </x:c>
      <x:c r="C27" s="6" t="inlineStr">
        <x:is>
          <x:t xml:space="preserve">Benefits Team</x:t>
        </x:is>
      </x:c>
      <x:c r="D27" s="5" t="inlineStr">
        <x:is>
          <x:t xml:space="preserve">Chennai</x:t>
        </x:is>
      </x:c>
      <x:c r="E27" s="36" t="n">
        <x:v>44899</x:v>
      </x:c>
      <x:c r="F27" s="37" t="n">
        <x:v>47070</x:v>
      </x:c>
      <x:c r="G27" s="37" t="n">
        <x:v>16474</x:v>
      </x:c>
      <x:c r="H27" s="37" t="n">
        <x:v>12000</x:v>
      </x:c>
      <x:c r="I27" s="37" t="n">
        <x:v>2822</x:v>
      </x:c>
      <x:c r="J27" s="37" t="n">
        <x:v>72722</x:v>
      </x:c>
      <x:c r="K27" s="5" t="inlineStr">
        <x:is>
          <x:t xml:space="preserve">Verified</x:t>
        </x:is>
      </x:c>
      <x:c r="L27" s="5" t="inlineStr">
        <x:is>
          <x:t xml:space="preserve">Pending</x:t>
        </x:is>
      </x:c>
      <x:c r="M27" s="9" t="n">
        <x:v>23</x:v>
      </x:c>
      <x:c r="N27" s="9" t="n">
        <x:v>4</x:v>
      </x:c>
      <x:c r="O27" s="5" t="inlineStr">
        <x:is>
          <x:t xml:space="preserve">Pending</x:t>
        </x:is>
      </x:c>
    </x:row>
    <x:row r="28">
      <x:c r="A28" s="5" t="inlineStr">
        <x:is>
          <x:t xml:space="preserve">EMP39831</x:t>
        </x:is>
      </x:c>
      <x:c r="B28" s="6" t="inlineStr">
        <x:is>
          <x:t xml:space="preserve">James Anderson</x:t>
        </x:is>
      </x:c>
      <x:c r="C28" s="6" t="inlineStr">
        <x:is>
          <x:t xml:space="preserve">Benefits Team</x:t>
        </x:is>
      </x:c>
      <x:c r="D28" s="5" t="inlineStr">
        <x:is>
          <x:t xml:space="preserve">Noida</x:t>
        </x:is>
      </x:c>
      <x:c r="E28" s="36" t="n">
        <x:v>45074</x:v>
      </x:c>
      <x:c r="F28" s="37" t="n">
        <x:v>26549</x:v>
      </x:c>
      <x:c r="G28" s="37" t="n">
        <x:v>10620</x:v>
      </x:c>
      <x:c r="H28" s="37" t="n">
        <x:v>7500</x:v>
      </x:c>
      <x:c r="I28" s="37" t="n">
        <x:v>6255</x:v>
      </x:c>
      <x:c r="J28" s="37" t="n">
        <x:v>38414</x:v>
      </x:c>
      <x:c r="K28" s="5" t="inlineStr">
        <x:is>
          <x:t xml:space="preserve">Pending Verification</x:t>
        </x:is>
      </x:c>
      <x:c r="L28" s="5" t="inlineStr">
        <x:is>
          <x:t xml:space="preserve">Pending</x:t>
        </x:is>
      </x:c>
      <x:c r="M28" s="9" t="n">
        <x:v>28</x:v>
      </x:c>
      <x:c r="N28" s="9" t="n">
        <x:v>2</x:v>
      </x:c>
      <x:c r="O28" s="5" t="inlineStr">
        <x:is>
          <x:t xml:space="preserve">Hold</x:t>
        </x:is>
      </x:c>
    </x:row>
    <x:row r="29">
      <x:c r="A29" s="5" t="inlineStr">
        <x:is>
          <x:t xml:space="preserve">EMP25118</x:t>
        </x:is>
      </x:c>
      <x:c r="B29" s="6" t="inlineStr">
        <x:is>
          <x:t xml:space="preserve">Kiran Gupta</x:t>
        </x:is>
      </x:c>
      <x:c r="C29" s="6" t="inlineStr">
        <x:is>
          <x:t xml:space="preserve">Consulting Ops</x:t>
        </x:is>
      </x:c>
      <x:c r="D29" s="5" t="inlineStr">
        <x:is>
          <x:t xml:space="preserve">Chennai</x:t>
        </x:is>
      </x:c>
      <x:c r="E29" s="36" t="n">
        <x:v>44247</x:v>
      </x:c>
      <x:c r="F29" s="37" t="n">
        <x:v>50479</x:v>
      </x:c>
      <x:c r="G29" s="37" t="n">
        <x:v>20192</x:v>
      </x:c>
      <x:c r="H29" s="37" t="n">
        <x:v>7500</x:v>
      </x:c>
      <x:c r="I29" s="37" t="n">
        <x:v>4574</x:v>
      </x:c>
      <x:c r="J29" s="37" t="n">
        <x:v>73597</x:v>
      </x:c>
      <x:c r="K29" s="5" t="inlineStr">
        <x:is>
          <x:t xml:space="preserve">Pending Verification</x:t>
        </x:is>
      </x:c>
      <x:c r="L29" s="5" t="inlineStr">
        <x:is>
          <x:t xml:space="preserve">Verified</x:t>
        </x:is>
      </x:c>
      <x:c r="M29" s="9" t="n">
        <x:v>24</x:v>
      </x:c>
      <x:c r="N29" s="9" t="n">
        <x:v>3</x:v>
      </x:c>
      <x:c r="O29" s="5" t="inlineStr">
        <x:is>
          <x:t xml:space="preserve">Processed</x:t>
        </x:is>
      </x:c>
    </x:row>
    <x:row r="30">
      <x:c r="A30" s="5" t="inlineStr">
        <x:is>
          <x:t xml:space="preserve">EMP67154</x:t>
        </x:is>
      </x:c>
      <x:c r="B30" s="6" t="inlineStr">
        <x:is>
          <x:t xml:space="preserve">Aarav Moore</x:t>
        </x:is>
      </x:c>
      <x:c r="C30" s="6" t="inlineStr">
        <x:is>
          <x:t xml:space="preserve">Tax Support</x:t>
        </x:is>
      </x:c>
      <x:c r="D30" s="5" t="inlineStr">
        <x:is>
          <x:t xml:space="preserve">Pune</x:t>
        </x:is>
      </x:c>
      <x:c r="E30" s="36" t="n">
        <x:v>45110</x:v>
      </x:c>
      <x:c r="F30" s="37" t="n">
        <x:v>65531</x:v>
      </x:c>
      <x:c r="G30" s="37" t="n">
        <x:v>26212</x:v>
      </x:c>
      <x:c r="H30" s="37" t="n">
        <x:v>7500</x:v>
      </x:c>
      <x:c r="I30" s="37" t="n">
        <x:v>6434</x:v>
      </x:c>
      <x:c r="J30" s="37" t="n">
        <x:v>92809</x:v>
      </x:c>
      <x:c r="K30" s="5" t="inlineStr">
        <x:is>
          <x:t xml:space="preserve">Verified</x:t>
        </x:is>
      </x:c>
      <x:c r="L30" s="5" t="inlineStr">
        <x:is>
          <x:t xml:space="preserve">Pending</x:t>
        </x:is>
      </x:c>
      <x:c r="M30" s="9" t="n">
        <x:v>26</x:v>
      </x:c>
      <x:c r="N30" s="9" t="n">
        <x:v>2</x:v>
      </x:c>
      <x:c r="O30" s="5" t="inlineStr">
        <x:is>
          <x:t xml:space="preserve">Processed</x:t>
        </x:is>
      </x:c>
    </x:row>
    <x:row r="31">
      <x:c r="A31" s="5" t="inlineStr">
        <x:is>
          <x:t xml:space="preserve">EMP52753</x:t>
        </x:is>
      </x:c>
      <x:c r="B31" s="6" t="inlineStr">
        <x:is>
          <x:t xml:space="preserve">Ravi Shah</x:t>
        </x:is>
      </x:c>
      <x:c r="C31" s="6" t="inlineStr">
        <x:is>
          <x:t xml:space="preserve">Talent Ops</x:t>
        </x:is>
      </x:c>
      <x:c r="D31" s="5" t="inlineStr">
        <x:is>
          <x:t xml:space="preserve">Mumbai</x:t>
        </x:is>
      </x:c>
      <x:c r="E31" s="36" t="n">
        <x:v>44764</x:v>
      </x:c>
      <x:c r="F31" s="37" t="n">
        <x:v>46847</x:v>
      </x:c>
      <x:c r="G31" s="37" t="n">
        <x:v>21081</x:v>
      </x:c>
      <x:c r="H31" s="37" t="n">
        <x:v>3000</x:v>
      </x:c>
      <x:c r="I31" s="37" t="n">
        <x:v>6042</x:v>
      </x:c>
      <x:c r="J31" s="37" t="n">
        <x:v>67386</x:v>
      </x:c>
      <x:c r="K31" s="5" t="inlineStr">
        <x:is>
          <x:t xml:space="preserve">Pending Verification</x:t>
        </x:is>
      </x:c>
      <x:c r="L31" s="5" t="inlineStr">
        <x:is>
          <x:t xml:space="preserve">Pending</x:t>
        </x:is>
      </x:c>
      <x:c r="M31" s="9" t="n">
        <x:v>24</x:v>
      </x:c>
      <x:c r="N31" s="9" t="n">
        <x:v>0</x:v>
      </x:c>
      <x:c r="O31" s="5" t="inlineStr">
        <x:is>
          <x:t xml:space="preserve">Processed</x:t>
        </x:is>
      </x:c>
    </x:row>
    <x:row r="32">
      <x:c r="A32" s="5" t="inlineStr">
        <x:is>
          <x:t xml:space="preserve">EMP37549</x:t>
        </x:is>
      </x:c>
      <x:c r="B32" s="6" t="inlineStr">
        <x:is>
          <x:t xml:space="preserve">Sneha Taylor</x:t>
        </x:is>
      </x:c>
      <x:c r="C32" s="6" t="inlineStr">
        <x:is>
          <x:t xml:space="preserve">Consulting Ops</x:t>
        </x:is>
      </x:c>
      <x:c r="D32" s="5" t="inlineStr">
        <x:is>
          <x:t xml:space="preserve">Gurgaon</x:t>
        </x:is>
      </x:c>
      <x:c r="E32" s="36" t="n">
        <x:v>45519</x:v>
      </x:c>
      <x:c r="F32" s="37" t="n">
        <x:v>66277</x:v>
      </x:c>
      <x:c r="G32" s="37" t="n">
        <x:v>23197</x:v>
      </x:c>
      <x:c r="H32" s="37" t="n">
        <x:v>12000</x:v>
      </x:c>
      <x:c r="I32" s="37" t="n">
        <x:v>7502</x:v>
      </x:c>
      <x:c r="J32" s="37" t="n">
        <x:v>93972</x:v>
      </x:c>
      <x:c r="K32" s="5" t="inlineStr">
        <x:is>
          <x:t xml:space="preserve">Pending Verification</x:t>
        </x:is>
      </x:c>
      <x:c r="L32" s="5" t="inlineStr">
        <x:is>
          <x:t xml:space="preserve">Verified</x:t>
        </x:is>
      </x:c>
      <x:c r="M32" s="9" t="n">
        <x:v>28</x:v>
      </x:c>
      <x:c r="N32" s="9" t="n">
        <x:v>0</x:v>
      </x:c>
      <x:c r="O32" s="5" t="inlineStr">
        <x:is>
          <x:t xml:space="preserve">Completed</x:t>
        </x:is>
      </x:c>
    </x:row>
    <x:row r="33">
      <x:c r="A33" s="5" t="inlineStr">
        <x:is>
          <x:t xml:space="preserve">EMP97012</x:t>
        </x:is>
      </x:c>
      <x:c r="B33" s="6" t="inlineStr">
        <x:is>
          <x:t xml:space="preserve">Noah Brown</x:t>
        </x:is>
      </x:c>
      <x:c r="C33" s="6" t="inlineStr">
        <x:is>
          <x:t xml:space="preserve">Benefits Team</x:t>
        </x:is>
      </x:c>
      <x:c r="D33" s="5" t="inlineStr">
        <x:is>
          <x:t xml:space="preserve">Chennai</x:t>
        </x:is>
      </x:c>
      <x:c r="E33" s="36" t="n">
        <x:v>44656</x:v>
      </x:c>
      <x:c r="F33" s="37" t="n">
        <x:v>23600</x:v>
      </x:c>
      <x:c r="G33" s="37" t="n">
        <x:v>8260</x:v>
      </x:c>
      <x:c r="H33" s="37" t="n">
        <x:v>4500</x:v>
      </x:c>
      <x:c r="I33" s="37" t="n">
        <x:v>4892</x:v>
      </x:c>
      <x:c r="J33" s="37" t="n">
        <x:v>31468</x:v>
      </x:c>
      <x:c r="K33" s="5" t="inlineStr">
        <x:is>
          <x:t xml:space="preserve">Pending Verification</x:t>
        </x:is>
      </x:c>
      <x:c r="L33" s="5" t="inlineStr">
        <x:is>
          <x:t xml:space="preserve">Verified</x:t>
        </x:is>
      </x:c>
      <x:c r="M33" s="9" t="n">
        <x:v>25</x:v>
      </x:c>
      <x:c r="N33" s="9" t="n">
        <x:v>3</x:v>
      </x:c>
      <x:c r="O33" s="5" t="inlineStr">
        <x:is>
          <x:t xml:space="preserve">Pending</x:t>
        </x:is>
      </x:c>
    </x:row>
    <x:row r="34">
      <x:c r="A34" s="5" t="inlineStr">
        <x:is>
          <x:t xml:space="preserve">EMP85454</x:t>
        </x:is>
      </x:c>
      <x:c r="B34" s="6" t="inlineStr">
        <x:is>
          <x:t xml:space="preserve">Henry Shah</x:t>
        </x:is>
      </x:c>
      <x:c r="C34" s="6" t="inlineStr">
        <x:is>
          <x:t xml:space="preserve">Risk Advisory</x:t>
        </x:is>
      </x:c>
      <x:c r="D34" s="5" t="inlineStr">
        <x:is>
          <x:t xml:space="preserve">Kolkata</x:t>
        </x:is>
      </x:c>
      <x:c r="E34" s="36" t="n">
        <x:v>45387</x:v>
      </x:c>
      <x:c r="F34" s="37" t="n">
        <x:v>64995</x:v>
      </x:c>
      <x:c r="G34" s="37" t="n">
        <x:v>29248</x:v>
      </x:c>
      <x:c r="H34" s="37" t="n">
        <x:v>1500</x:v>
      </x:c>
      <x:c r="I34" s="37" t="n">
        <x:v>7151</x:v>
      </x:c>
      <x:c r="J34" s="37" t="n">
        <x:v>88592</x:v>
      </x:c>
      <x:c r="K34" s="5" t="inlineStr">
        <x:is>
          <x:t xml:space="preserve">Verified</x:t>
        </x:is>
      </x:c>
      <x:c r="L34" s="5" t="inlineStr">
        <x:is>
          <x:t xml:space="preserve">Pending</x:t>
        </x:is>
      </x:c>
      <x:c r="M34" s="9" t="n">
        <x:v>21</x:v>
      </x:c>
      <x:c r="N34" s="9" t="n">
        <x:v>2</x:v>
      </x:c>
      <x:c r="O34" s="5" t="inlineStr">
        <x:is>
          <x:t xml:space="preserve">Pending</x:t>
        </x:is>
      </x:c>
    </x:row>
    <x:row r="35">
      <x:c r="A35" s="5" t="inlineStr">
        <x:is>
          <x:t xml:space="preserve">EMP77889</x:t>
        </x:is>
      </x:c>
      <x:c r="B35" s="6" t="inlineStr">
        <x:is>
          <x:t xml:space="preserve">Vikram Bose</x:t>
        </x:is>
      </x:c>
      <x:c r="C35" s="6" t="inlineStr">
        <x:is>
          <x:t xml:space="preserve">Tax Support</x:t>
        </x:is>
      </x:c>
      <x:c r="D35" s="5" t="inlineStr">
        <x:is>
          <x:t xml:space="preserve">Pune</x:t>
        </x:is>
      </x:c>
      <x:c r="E35" s="36" t="n">
        <x:v>44413</x:v>
      </x:c>
      <x:c r="F35" s="37" t="n">
        <x:v>74521</x:v>
      </x:c>
      <x:c r="G35" s="37" t="n">
        <x:v>29808</x:v>
      </x:c>
      <x:c r="H35" s="37" t="n">
        <x:v>7500</x:v>
      </x:c>
      <x:c r="I35" s="37" t="n">
        <x:v>7187</x:v>
      </x:c>
      <x:c r="J35" s="37" t="n">
        <x:v>104642</x:v>
      </x:c>
      <x:c r="K35" s="5" t="inlineStr">
        <x:is>
          <x:t xml:space="preserve">Active</x:t>
        </x:is>
      </x:c>
      <x:c r="L35" s="5" t="inlineStr">
        <x:is>
          <x:t xml:space="preserve">Pending</x:t>
        </x:is>
      </x:c>
      <x:c r="M35" s="9" t="n">
        <x:v>31</x:v>
      </x:c>
      <x:c r="N35" s="9" t="n">
        <x:v>0</x:v>
      </x:c>
      <x:c r="O35" s="5" t="inlineStr">
        <x:is>
          <x:t xml:space="preserve">Pending</x:t>
        </x:is>
      </x:c>
    </x:row>
    <x:row r="36">
      <x:c r="A36" s="5" t="inlineStr">
        <x:is>
          <x:t xml:space="preserve">EMP72216</x:t>
        </x:is>
      </x:c>
      <x:c r="B36" s="6" t="inlineStr">
        <x:is>
          <x:t xml:space="preserve">Sophie Jackson</x:t>
        </x:is>
      </x:c>
      <x:c r="C36" s="6" t="inlineStr">
        <x:is>
          <x:t xml:space="preserve">Benefits Team</x:t>
        </x:is>
      </x:c>
      <x:c r="D36" s="5" t="inlineStr">
        <x:is>
          <x:t xml:space="preserve">Chennai</x:t>
        </x:is>
      </x:c>
      <x:c r="E36" s="36" t="n">
        <x:v>45604</x:v>
      </x:c>
      <x:c r="F36" s="37" t="n">
        <x:v>39996</x:v>
      </x:c>
      <x:c r="G36" s="37" t="n">
        <x:v>15998</x:v>
      </x:c>
      <x:c r="H36" s="37" t="n">
        <x:v>2500</x:v>
      </x:c>
      <x:c r="I36" s="37" t="n">
        <x:v>6845</x:v>
      </x:c>
      <x:c r="J36" s="37" t="n">
        <x:v>51649</x:v>
      </x:c>
      <x:c r="K36" s="5" t="inlineStr">
        <x:is>
          <x:t xml:space="preserve">Active</x:t>
        </x:is>
      </x:c>
      <x:c r="L36" s="5" t="inlineStr">
        <x:is>
          <x:t xml:space="preserve">Verified</x:t>
        </x:is>
      </x:c>
      <x:c r="M36" s="9" t="n">
        <x:v>22</x:v>
      </x:c>
      <x:c r="N36" s="9" t="n">
        <x:v>5</x:v>
      </x:c>
      <x:c r="O36" s="5" t="inlineStr">
        <x:is>
          <x:t xml:space="preserve">Processed</x:t>
        </x:is>
      </x:c>
    </x:row>
    <x:row r="37">
      <x:c r="A37" s="5" t="inlineStr">
        <x:is>
          <x:t xml:space="preserve">EMP80798</x:t>
        </x:is>
      </x:c>
      <x:c r="B37" s="6" t="inlineStr">
        <x:is>
          <x:t xml:space="preserve">Arjun Desai</x:t>
        </x:is>
      </x:c>
      <x:c r="C37" s="6" t="inlineStr">
        <x:is>
          <x:t xml:space="preserve">Finance Ops</x:t>
        </x:is>
      </x:c>
      <x:c r="D37" s="5" t="inlineStr">
        <x:is>
          <x:t xml:space="preserve">Pune</x:t>
        </x:is>
      </x:c>
      <x:c r="E37" s="36" t="n">
        <x:v>45631</x:v>
      </x:c>
      <x:c r="F37" s="37" t="n">
        <x:v>68295</x:v>
      </x:c>
      <x:c r="G37" s="37" t="n">
        <x:v>23903</x:v>
      </x:c>
      <x:c r="H37" s="37" t="n">
        <x:v>2500</x:v>
      </x:c>
      <x:c r="I37" s="37" t="n">
        <x:v>4398</x:v>
      </x:c>
      <x:c r="J37" s="37" t="n">
        <x:v>90300</x:v>
      </x:c>
      <x:c r="K37" s="5" t="inlineStr">
        <x:is>
          <x:t xml:space="preserve">Active</x:t>
        </x:is>
      </x:c>
      <x:c r="L37" s="5" t="inlineStr">
        <x:is>
          <x:t xml:space="preserve">Pending</x:t>
        </x:is>
      </x:c>
      <x:c r="M37" s="9" t="n">
        <x:v>26</x:v>
      </x:c>
      <x:c r="N37" s="9" t="n">
        <x:v>3</x:v>
      </x:c>
      <x:c r="O37" s="5" t="inlineStr">
        <x:is>
          <x:t xml:space="preserve">Processed</x:t>
        </x:is>
      </x:c>
    </x:row>
    <x:row r="38">
      <x:c r="A38" s="5" t="inlineStr">
        <x:is>
          <x:t xml:space="preserve">EMP37110</x:t>
        </x:is>
      </x:c>
      <x:c r="B38" s="6" t="inlineStr">
        <x:is>
          <x:t xml:space="preserve">Rohan Lee</x:t>
        </x:is>
      </x:c>
      <x:c r="C38" s="6" t="inlineStr">
        <x:is>
          <x:t xml:space="preserve">Consulting Ops</x:t>
        </x:is>
      </x:c>
      <x:c r="D38" s="5" t="inlineStr">
        <x:is>
          <x:t xml:space="preserve">Hyderabad</x:t>
        </x:is>
      </x:c>
      <x:c r="E38" s="36" t="n">
        <x:v>45505</x:v>
      </x:c>
      <x:c r="F38" s="37" t="n">
        <x:v>45052</x:v>
      </x:c>
      <x:c r="G38" s="37" t="n">
        <x:v>18021</x:v>
      </x:c>
      <x:c r="H38" s="37" t="n">
        <x:v>9000</x:v>
      </x:c>
      <x:c r="I38" s="37" t="n">
        <x:v>7991</x:v>
      </x:c>
      <x:c r="J38" s="37" t="n">
        <x:v>64082</x:v>
      </x:c>
      <x:c r="K38" s="5" t="inlineStr">
        <x:is>
          <x:t xml:space="preserve">Active</x:t>
        </x:is>
      </x:c>
      <x:c r="L38" s="5" t="inlineStr">
        <x:is>
          <x:t xml:space="preserve">Verified</x:t>
        </x:is>
      </x:c>
      <x:c r="M38" s="9" t="n">
        <x:v>25</x:v>
      </x:c>
      <x:c r="N38" s="9" t="n">
        <x:v>1</x:v>
      </x:c>
      <x:c r="O38" s="5" t="inlineStr">
        <x:is>
          <x:t xml:space="preserve">Processed</x:t>
        </x:is>
      </x:c>
    </x:row>
    <x:row r="39">
      <x:c r="A39" s="5" t="inlineStr">
        <x:is>
          <x:t xml:space="preserve">EMP73654</x:t>
        </x:is>
      </x:c>
      <x:c r="B39" s="6" t="inlineStr">
        <x:is>
          <x:t xml:space="preserve">Aisha Lee</x:t>
        </x:is>
      </x:c>
      <x:c r="C39" s="6" t="inlineStr">
        <x:is>
          <x:t xml:space="preserve">IT Support</x:t>
        </x:is>
      </x:c>
      <x:c r="D39" s="5" t="inlineStr">
        <x:is>
          <x:t xml:space="preserve">Noida</x:t>
        </x:is>
      </x:c>
      <x:c r="E39" s="36" t="n">
        <x:v>44778</x:v>
      </x:c>
      <x:c r="F39" s="37" t="n">
        <x:v>62780</x:v>
      </x:c>
      <x:c r="G39" s="37" t="n">
        <x:v>28251</x:v>
      </x:c>
      <x:c r="H39" s="37" t="n">
        <x:v>1500</x:v>
      </x:c>
      <x:c r="I39" s="37" t="n">
        <x:v>4227</x:v>
      </x:c>
      <x:c r="J39" s="37" t="n">
        <x:v>88304</x:v>
      </x:c>
      <x:c r="K39" s="5" t="inlineStr">
        <x:is>
          <x:t xml:space="preserve">Pending Verification</x:t>
        </x:is>
      </x:c>
      <x:c r="L39" s="5" t="inlineStr">
        <x:is>
          <x:t xml:space="preserve">Verified</x:t>
        </x:is>
      </x:c>
      <x:c r="M39" s="9" t="n">
        <x:v>19</x:v>
      </x:c>
      <x:c r="N39" s="9" t="n">
        <x:v>6</x:v>
      </x:c>
      <x:c r="O39" s="5" t="inlineStr">
        <x:is>
          <x:t xml:space="preserve">Processed</x:t>
        </x:is>
      </x:c>
    </x:row>
    <x:row r="40">
      <x:c r="A40" s="5" t="inlineStr">
        <x:is>
          <x:t xml:space="preserve">EMP70515</x:t>
        </x:is>
      </x:c>
      <x:c r="B40" s="6" t="inlineStr">
        <x:is>
          <x:t xml:space="preserve">Fatima Bose</x:t>
        </x:is>
      </x:c>
      <x:c r="C40" s="6" t="inlineStr">
        <x:is>
          <x:t xml:space="preserve">Talent Ops</x:t>
        </x:is>
      </x:c>
      <x:c r="D40" s="5" t="inlineStr">
        <x:is>
          <x:t xml:space="preserve">Noida</x:t>
        </x:is>
      </x:c>
      <x:c r="E40" s="36" t="n">
        <x:v>45031</x:v>
      </x:c>
      <x:c r="F40" s="37" t="n">
        <x:v>43420</x:v>
      </x:c>
      <x:c r="G40" s="37" t="n">
        <x:v>17368</x:v>
      </x:c>
      <x:c r="H40" s="37" t="n">
        <x:v>9000</x:v>
      </x:c>
      <x:c r="I40" s="37" t="n">
        <x:v>3279</x:v>
      </x:c>
      <x:c r="J40" s="37" t="n">
        <x:v>66509</x:v>
      </x:c>
      <x:c r="K40" s="5" t="inlineStr">
        <x:is>
          <x:t xml:space="preserve">Active</x:t>
        </x:is>
      </x:c>
      <x:c r="L40" s="5" t="inlineStr">
        <x:is>
          <x:t xml:space="preserve">Pending</x:t>
        </x:is>
      </x:c>
      <x:c r="M40" s="9" t="n">
        <x:v>31</x:v>
      </x:c>
      <x:c r="N40" s="9" t="n">
        <x:v>0</x:v>
      </x:c>
      <x:c r="O40" s="5" t="inlineStr">
        <x:is>
          <x:t xml:space="preserve">Processed</x:t>
        </x:is>
      </x:c>
    </x:row>
    <x:row r="41">
      <x:c r="A41" s="5" t="inlineStr">
        <x:is>
          <x:t xml:space="preserve">EMP77551</x:t>
        </x:is>
      </x:c>
      <x:c r="B41" s="6" t="inlineStr">
        <x:is>
          <x:t xml:space="preserve">Amira Kumar</x:t>
        </x:is>
      </x:c>
      <x:c r="C41" s="6" t="inlineStr">
        <x:is>
          <x:t xml:space="preserve">Benefits Team</x:t>
        </x:is>
      </x:c>
      <x:c r="D41" s="5" t="inlineStr">
        <x:is>
          <x:t xml:space="preserve">Bengaluru</x:t>
        </x:is>
      </x:c>
      <x:c r="E41" s="36" t="n">
        <x:v>44204</x:v>
      </x:c>
      <x:c r="F41" s="37" t="n">
        <x:v>35065</x:v>
      </x:c>
      <x:c r="G41" s="37" t="n">
        <x:v>12273</x:v>
      </x:c>
      <x:c r="H41" s="37" t="n">
        <x:v>3000</x:v>
      </x:c>
      <x:c r="I41" s="37" t="n">
        <x:v>2954</x:v>
      </x:c>
      <x:c r="J41" s="37" t="n">
        <x:v>47384</x:v>
      </x:c>
      <x:c r="K41" s="5" t="inlineStr">
        <x:is>
          <x:t xml:space="preserve">Verified</x:t>
        </x:is>
      </x:c>
      <x:c r="L41" s="5" t="inlineStr">
        <x:is>
          <x:t xml:space="preserve">Pending</x:t>
        </x:is>
      </x:c>
      <x:c r="M41" s="9" t="n">
        <x:v>28</x:v>
      </x:c>
      <x:c r="N41" s="9" t="n">
        <x:v>0</x:v>
      </x:c>
      <x:c r="O41" s="5" t="inlineStr">
        <x:is>
          <x:t xml:space="preserve">Processed</x:t>
        </x:is>
      </x:c>
    </x:row>
    <x:row r="42">
      <x:c r="A42" s="5" t="inlineStr">
        <x:is>
          <x:t xml:space="preserve">EMP38569</x:t>
        </x:is>
      </x:c>
      <x:c r="B42" s="6" t="inlineStr">
        <x:is>
          <x:t xml:space="preserve">Vikram Shah</x:t>
        </x:is>
      </x:c>
      <x:c r="C42" s="6" t="inlineStr">
        <x:is>
          <x:t xml:space="preserve">Talent Ops</x:t>
        </x:is>
      </x:c>
      <x:c r="D42" s="5" t="inlineStr">
        <x:is>
          <x:t xml:space="preserve">Gurgaon</x:t>
        </x:is>
      </x:c>
      <x:c r="E42" s="36" t="n">
        <x:v>44854</x:v>
      </x:c>
      <x:c r="F42" s="37" t="n">
        <x:v>71016</x:v>
      </x:c>
      <x:c r="G42" s="37" t="n">
        <x:v>31957</x:v>
      </x:c>
      <x:c r="H42" s="37" t="n">
        <x:v>2500</x:v>
      </x:c>
      <x:c r="I42" s="37" t="n">
        <x:v>7371</x:v>
      </x:c>
      <x:c r="J42" s="37" t="n">
        <x:v>98102</x:v>
      </x:c>
      <x:c r="K42" s="5" t="inlineStr">
        <x:is>
          <x:t xml:space="preserve">Verified</x:t>
        </x:is>
      </x:c>
      <x:c r="L42" s="5" t="inlineStr">
        <x:is>
          <x:t xml:space="preserve">Pending</x:t>
        </x:is>
      </x:c>
      <x:c r="M42" s="9" t="n">
        <x:v>19</x:v>
      </x:c>
      <x:c r="N42" s="9" t="n">
        <x:v>0</x:v>
      </x:c>
      <x:c r="O42" s="5" t="inlineStr">
        <x:is>
          <x:t xml:space="preserve">Pending</x:t>
        </x:is>
      </x:c>
    </x:row>
    <x:row r="43">
      <x:c r="A43" s="5" t="inlineStr">
        <x:is>
          <x:t xml:space="preserve">EMP85470</x:t>
        </x:is>
      </x:c>
      <x:c r="B43" s="6" t="inlineStr">
        <x:is>
          <x:t xml:space="preserve">Priya Lee</x:t>
        </x:is>
      </x:c>
      <x:c r="C43" s="6" t="inlineStr">
        <x:is>
          <x:t xml:space="preserve">Benefits Team</x:t>
        </x:is>
      </x:c>
      <x:c r="D43" s="5" t="inlineStr">
        <x:is>
          <x:t xml:space="preserve">Bengaluru</x:t>
        </x:is>
      </x:c>
      <x:c r="E43" s="36" t="n">
        <x:v>44615</x:v>
      </x:c>
      <x:c r="F43" s="37" t="n">
        <x:v>72625</x:v>
      </x:c>
      <x:c r="G43" s="37" t="n">
        <x:v>29050</x:v>
      </x:c>
      <x:c r="H43" s="37" t="n">
        <x:v>2500</x:v>
      </x:c>
      <x:c r="I43" s="37" t="n">
        <x:v>7522</x:v>
      </x:c>
      <x:c r="J43" s="37" t="n">
        <x:v>96653</x:v>
      </x:c>
      <x:c r="K43" s="5" t="inlineStr">
        <x:is>
          <x:t xml:space="preserve">Pending Verification</x:t>
        </x:is>
      </x:c>
      <x:c r="L43" s="5" t="inlineStr">
        <x:is>
          <x:t xml:space="preserve">Verified</x:t>
        </x:is>
      </x:c>
      <x:c r="M43" s="9" t="n">
        <x:v>36</x:v>
      </x:c>
      <x:c r="N43" s="9" t="n">
        <x:v>8</x:v>
      </x:c>
      <x:c r="O43" s="5" t="inlineStr">
        <x:is>
          <x:t xml:space="preserve">Processed</x:t>
        </x:is>
      </x:c>
    </x:row>
    <x:row r="44">
      <x:c r="A44" s="5" t="inlineStr">
        <x:is>
          <x:t xml:space="preserve">EMP58571</x:t>
        </x:is>
      </x:c>
      <x:c r="B44" s="6" t="inlineStr">
        <x:is>
          <x:t xml:space="preserve">Ananya Moore</x:t>
        </x:is>
      </x:c>
      <x:c r="C44" s="6" t="inlineStr">
        <x:is>
          <x:t xml:space="preserve">IT Support</x:t>
        </x:is>
      </x:c>
      <x:c r="D44" s="5" t="inlineStr">
        <x:is>
          <x:t xml:space="preserve">Hyderabad</x:t>
        </x:is>
      </x:c>
      <x:c r="E44" s="36" t="n">
        <x:v>45508</x:v>
      </x:c>
      <x:c r="F44" s="37" t="n">
        <x:v>50411</x:v>
      </x:c>
      <x:c r="G44" s="37" t="n">
        <x:v>20164</x:v>
      </x:c>
      <x:c r="H44" s="37" t="n">
        <x:v>12000</x:v>
      </x:c>
      <x:c r="I44" s="37" t="n">
        <x:v>6794</x:v>
      </x:c>
      <x:c r="J44" s="37" t="n">
        <x:v>75781</x:v>
      </x:c>
      <x:c r="K44" s="5" t="inlineStr">
        <x:is>
          <x:t xml:space="preserve">Verified</x:t>
        </x:is>
      </x:c>
      <x:c r="L44" s="5" t="inlineStr">
        <x:is>
          <x:t xml:space="preserve">Pending</x:t>
        </x:is>
      </x:c>
      <x:c r="M44" s="9" t="n">
        <x:v>20</x:v>
      </x:c>
      <x:c r="N44" s="9" t="n">
        <x:v>8</x:v>
      </x:c>
      <x:c r="O44" s="5" t="inlineStr">
        <x:is>
          <x:t xml:space="preserve">Hold</x:t>
        </x:is>
      </x:c>
    </x:row>
    <x:row r="45">
      <x:c r="A45" s="5" t="inlineStr">
        <x:is>
          <x:t xml:space="preserve">EMP45400</x:t>
        </x:is>
      </x:c>
      <x:c r="B45" s="6" t="inlineStr">
        <x:is>
          <x:t xml:space="preserve">William Mehta</x:t>
        </x:is>
      </x:c>
      <x:c r="C45" s="6" t="inlineStr">
        <x:is>
          <x:t xml:space="preserve">Risk Advisory</x:t>
        </x:is>
      </x:c>
      <x:c r="D45" s="5" t="inlineStr">
        <x:is>
          <x:t xml:space="preserve">Chennai</x:t>
        </x:is>
      </x:c>
      <x:c r="E45" s="36" t="n">
        <x:v>45043</x:v>
      </x:c>
      <x:c r="F45" s="37" t="n">
        <x:v>27679</x:v>
      </x:c>
      <x:c r="G45" s="37" t="n">
        <x:v>11072</x:v>
      </x:c>
      <x:c r="H45" s="37" t="n">
        <x:v>12000</x:v>
      </x:c>
      <x:c r="I45" s="37" t="n">
        <x:v>2997</x:v>
      </x:c>
      <x:c r="J45" s="37" t="n">
        <x:v>47754</x:v>
      </x:c>
      <x:c r="K45" s="5" t="inlineStr">
        <x:is>
          <x:t xml:space="preserve">Active</x:t>
        </x:is>
      </x:c>
      <x:c r="L45" s="5" t="inlineStr">
        <x:is>
          <x:t xml:space="preserve">Pending</x:t>
        </x:is>
      </x:c>
      <x:c r="M45" s="9" t="n">
        <x:v>23</x:v>
      </x:c>
      <x:c r="N45" s="9" t="n">
        <x:v>0</x:v>
      </x:c>
      <x:c r="O45" s="5" t="inlineStr">
        <x:is>
          <x:t xml:space="preserve">Processed</x:t>
        </x:is>
      </x:c>
    </x:row>
    <x:row r="46">
      <x:c r="A46" s="5" t="inlineStr">
        <x:is>
          <x:t xml:space="preserve">EMP52600</x:t>
        </x:is>
      </x:c>
      <x:c r="B46" s="6" t="inlineStr">
        <x:is>
          <x:t xml:space="preserve">Fatima Miller</x:t>
        </x:is>
      </x:c>
      <x:c r="C46" s="6" t="inlineStr">
        <x:is>
          <x:t xml:space="preserve">Benefits Team</x:t>
        </x:is>
      </x:c>
      <x:c r="D46" s="5" t="inlineStr">
        <x:is>
          <x:t xml:space="preserve">Gurgaon</x:t>
        </x:is>
      </x:c>
      <x:c r="E46" s="36" t="n">
        <x:v>45086</x:v>
      </x:c>
      <x:c r="F46" s="37" t="n">
        <x:v>61069</x:v>
      </x:c>
      <x:c r="G46" s="37" t="n">
        <x:v>27481</x:v>
      </x:c>
      <x:c r="H46" s="37" t="n">
        <x:v>6000</x:v>
      </x:c>
      <x:c r="I46" s="37" t="n">
        <x:v>5553</x:v>
      </x:c>
      <x:c r="J46" s="37" t="n">
        <x:v>88997</x:v>
      </x:c>
      <x:c r="K46" s="5" t="inlineStr">
        <x:is>
          <x:t xml:space="preserve">Verified</x:t>
        </x:is>
      </x:c>
      <x:c r="L46" s="5" t="inlineStr">
        <x:is>
          <x:t xml:space="preserve">Verified</x:t>
        </x:is>
      </x:c>
      <x:c r="M46" s="9" t="n">
        <x:v>19</x:v>
      </x:c>
      <x:c r="N46" s="9" t="n">
        <x:v>3</x:v>
      </x:c>
      <x:c r="O46" s="5" t="inlineStr">
        <x:is>
          <x:t xml:space="preserve">Processed</x:t>
        </x:is>
      </x:c>
    </x:row>
    <x:row r="47">
      <x:c r="A47" s="5" t="inlineStr">
        <x:is>
          <x:t xml:space="preserve">EMP74038</x:t>
        </x:is>
      </x:c>
      <x:c r="B47" s="6" t="inlineStr">
        <x:is>
          <x:t xml:space="preserve">Kavya Shah</x:t>
        </x:is>
      </x:c>
      <x:c r="C47" s="6" t="inlineStr">
        <x:is>
          <x:t xml:space="preserve">Audit Support</x:t>
        </x:is>
      </x:c>
      <x:c r="D47" s="5" t="inlineStr">
        <x:is>
          <x:t xml:space="preserve">Kolkata</x:t>
        </x:is>
      </x:c>
      <x:c r="E47" s="36" t="n">
        <x:v>45294</x:v>
      </x:c>
      <x:c r="F47" s="37" t="n">
        <x:v>41283</x:v>
      </x:c>
      <x:c r="G47" s="37" t="n">
        <x:v>14449</x:v>
      </x:c>
      <x:c r="H47" s="37" t="n">
        <x:v>9000</x:v>
      </x:c>
      <x:c r="I47" s="37" t="n">
        <x:v>6667</x:v>
      </x:c>
      <x:c r="J47" s="37" t="n">
        <x:v>58065</x:v>
      </x:c>
      <x:c r="K47" s="5" t="inlineStr">
        <x:is>
          <x:t xml:space="preserve">Verified</x:t>
        </x:is>
      </x:c>
      <x:c r="L47" s="5" t="inlineStr">
        <x:is>
          <x:t xml:space="preserve">Pending</x:t>
        </x:is>
      </x:c>
      <x:c r="M47" s="9" t="n">
        <x:v>28</x:v>
      </x:c>
      <x:c r="N47" s="9" t="n">
        <x:v>2</x:v>
      </x:c>
      <x:c r="O47" s="5" t="inlineStr">
        <x:is>
          <x:t xml:space="preserve">Processed</x:t>
        </x:is>
      </x:c>
    </x:row>
    <x:row r="48">
      <x:c r="A48" s="5" t="inlineStr">
        <x:is>
          <x:t xml:space="preserve">EMP79588</x:t>
        </x:is>
      </x:c>
      <x:c r="B48" s="6" t="inlineStr">
        <x:is>
          <x:t xml:space="preserve">Oliver Martin</x:t>
        </x:is>
      </x:c>
      <x:c r="C48" s="6" t="inlineStr">
        <x:is>
          <x:t xml:space="preserve">Tax Support</x:t>
        </x:is>
      </x:c>
      <x:c r="D48" s="5" t="inlineStr">
        <x:is>
          <x:t xml:space="preserve">Gurgaon</x:t>
        </x:is>
      </x:c>
      <x:c r="E48" s="36" t="n">
        <x:v>45275</x:v>
      </x:c>
      <x:c r="F48" s="37" t="n">
        <x:v>39754</x:v>
      </x:c>
      <x:c r="G48" s="37" t="n">
        <x:v>15902</x:v>
      </x:c>
      <x:c r="H48" s="37" t="n">
        <x:v>6000</x:v>
      </x:c>
      <x:c r="I48" s="37" t="n">
        <x:v>2888</x:v>
      </x:c>
      <x:c r="J48" s="37" t="n">
        <x:v>58768</x:v>
      </x:c>
      <x:c r="K48" s="5" t="inlineStr">
        <x:is>
          <x:t xml:space="preserve">Verified</x:t>
        </x:is>
      </x:c>
      <x:c r="L48" s="5" t="inlineStr">
        <x:is>
          <x:t xml:space="preserve">Verified</x:t>
        </x:is>
      </x:c>
      <x:c r="M48" s="9" t="n">
        <x:v>23</x:v>
      </x:c>
      <x:c r="N48" s="9" t="n">
        <x:v>1</x:v>
      </x:c>
      <x:c r="O48" s="5" t="inlineStr">
        <x:is>
          <x:t xml:space="preserve">Processed</x:t>
        </x:is>
      </x:c>
    </x:row>
    <x:row r="49">
      <x:c r="A49" s="5" t="inlineStr">
        <x:is>
          <x:t xml:space="preserve">EMP34267</x:t>
        </x:is>
      </x:c>
      <x:c r="B49" s="6" t="n"/>
      <x:c r="C49" s="6" t="inlineStr">
        <x:is>
          <x:t xml:space="preserve">Audit Support</x:t>
        </x:is>
      </x:c>
      <x:c r="D49" s="5" t="inlineStr">
        <x:is>
          <x:t xml:space="preserve">Chennai</x:t>
        </x:is>
      </x:c>
      <x:c r="E49" s="36" t="n">
        <x:v>44984</x:v>
      </x:c>
      <x:c r="F49" s="37" t="n">
        <x:v>34721</x:v>
      </x:c>
      <x:c r="G49" s="37" t="n">
        <x:v>13888</x:v>
      </x:c>
      <x:c r="H49" s="37" t="n">
        <x:v>4500</x:v>
      </x:c>
      <x:c r="I49" s="37" t="n">
        <x:v>3956</x:v>
      </x:c>
      <x:c r="J49" s="37" t="n">
        <x:v>49153</x:v>
      </x:c>
      <x:c r="K49" s="5" t="inlineStr">
        <x:is>
          <x:t xml:space="preserve">Verified</x:t>
        </x:is>
      </x:c>
      <x:c r="L49" s="5" t="inlineStr">
        <x:is>
          <x:t xml:space="preserve">Pending</x:t>
        </x:is>
      </x:c>
      <x:c r="M49" s="9" t="n">
        <x:v>18</x:v>
      </x:c>
      <x:c r="N49" s="9" t="n">
        <x:v>8</x:v>
      </x:c>
      <x:c r="O49" s="5" t="inlineStr">
        <x:is>
          <x:t xml:space="preserve">Processed</x:t>
        </x:is>
      </x:c>
    </x:row>
    <x:row r="50">
      <x:c r="A50" s="5" t="inlineStr">
        <x:is>
          <x:t xml:space="preserve">EMP15965</x:t>
        </x:is>
      </x:c>
      <x:c r="B50" s="6" t="inlineStr">
        <x:is>
          <x:t xml:space="preserve">Amira Nair</x:t>
        </x:is>
      </x:c>
      <x:c r="C50" s="6" t="inlineStr">
        <x:is>
          <x:t xml:space="preserve">Talent Ops</x:t>
        </x:is>
      </x:c>
      <x:c r="D50" s="5" t="inlineStr">
        <x:is>
          <x:t xml:space="preserve">Mumbai</x:t>
        </x:is>
      </x:c>
      <x:c r="E50" s="36" t="n">
        <x:v>45350</x:v>
      </x:c>
      <x:c r="F50" s="37" t="n">
        <x:v>22803</x:v>
      </x:c>
      <x:c r="G50" s="37" t="n">
        <x:v>10261</x:v>
      </x:c>
      <x:c r="H50" s="37" t="n">
        <x:v>6000</x:v>
      </x:c>
      <x:c r="I50" s="37" t="n">
        <x:v>4845</x:v>
      </x:c>
      <x:c r="J50" s="37" t="n">
        <x:v>34219</x:v>
      </x:c>
      <x:c r="K50" s="5" t="inlineStr">
        <x:is>
          <x:t xml:space="preserve">Active</x:t>
        </x:is>
      </x:c>
      <x:c r="L50" s="5" t="inlineStr">
        <x:is>
          <x:t xml:space="preserve">Pending</x:t>
        </x:is>
      </x:c>
      <x:c r="M50" s="9" t="n">
        <x:v>23</x:v>
      </x:c>
      <x:c r="N50" s="9" t="n">
        <x:v>2</x:v>
      </x:c>
      <x:c r="O50" s="5" t="inlineStr">
        <x:is>
          <x:t xml:space="preserve">Hold</x:t>
        </x:is>
      </x:c>
    </x:row>
    <x:row r="51">
      <x:c r="A51" s="5" t="inlineStr">
        <x:is>
          <x:t xml:space="preserve">EMP43092</x:t>
        </x:is>
      </x:c>
      <x:c r="B51" s="6" t="inlineStr">
        <x:is>
          <x:t xml:space="preserve">William Davis</x:t>
        </x:is>
      </x:c>
      <x:c r="C51" s="6" t="inlineStr">
        <x:is>
          <x:t xml:space="preserve">HR Shared Services</x:t>
        </x:is>
      </x:c>
      <x:c r="D51" s="5" t="inlineStr">
        <x:is>
          <x:t xml:space="preserve">Noida</x:t>
        </x:is>
      </x:c>
      <x:c r="E51" s="36" t="n">
        <x:v>45341</x:v>
      </x:c>
      <x:c r="F51" s="37" t="n">
        <x:v>63251</x:v>
      </x:c>
      <x:c r="G51" s="37" t="n">
        <x:v>28463</x:v>
      </x:c>
      <x:c r="H51" s="37" t="n">
        <x:v>1500</x:v>
      </x:c>
      <x:c r="I51" s="37" t="n">
        <x:v>2242</x:v>
      </x:c>
      <x:c r="J51" s="37" t="n">
        <x:v>90972</x:v>
      </x:c>
      <x:c r="K51" s="5" t="inlineStr">
        <x:is>
          <x:t xml:space="preserve">Verified</x:t>
        </x:is>
      </x:c>
      <x:c r="L51" s="5" t="inlineStr">
        <x:is>
          <x:t xml:space="preserve">Pending</x:t>
        </x:is>
      </x:c>
      <x:c r="M51" s="9" t="n">
        <x:v>19</x:v>
      </x:c>
      <x:c r="N51" s="9" t="n">
        <x:v>3</x:v>
      </x:c>
      <x:c r="O51" s="5" t="inlineStr">
        <x:is>
          <x:t xml:space="preserve">Processed</x:t>
        </x:is>
      </x:c>
    </x:row>
    <x:row r="52">
      <x:c r="A52" s="5" t="inlineStr">
        <x:is>
          <x:t xml:space="preserve">EMP64548</x:t>
        </x:is>
      </x:c>
      <x:c r="B52" s="6" t="inlineStr">
        <x:is>
          <x:t xml:space="preserve">James Singh</x:t>
        </x:is>
      </x:c>
      <x:c r="C52" s="6" t="inlineStr">
        <x:is>
          <x:t xml:space="preserve">Tax Support</x:t>
        </x:is>
      </x:c>
      <x:c r="D52" s="5" t="inlineStr">
        <x:is>
          <x:t xml:space="preserve">Noida</x:t>
        </x:is>
      </x:c>
      <x:c r="E52" s="36" t="n">
        <x:v>45514</x:v>
      </x:c>
      <x:c r="F52" s="37" t="n"/>
      <x:c r="G52" s="37" t="n">
        <x:v>24228</x:v>
      </x:c>
      <x:c r="H52" s="37" t="n">
        <x:v>6000</x:v>
      </x:c>
      <x:c r="I52" s="37" t="n">
        <x:v>5658</x:v>
      </x:c>
      <x:c r="J52" s="37" t="n">
        <x:v>62533</x:v>
      </x:c>
      <x:c r="K52" s="5" t="inlineStr">
        <x:is>
          <x:t xml:space="preserve">Pending Verification</x:t>
        </x:is>
      </x:c>
      <x:c r="L52" s="5" t="inlineStr">
        <x:is>
          <x:t xml:space="preserve">Verified</x:t>
        </x:is>
      </x:c>
      <x:c r="M52" s="9" t="n">
        <x:v>27</x:v>
      </x:c>
      <x:c r="N52" s="9" t="n">
        <x:v>0</x:v>
      </x:c>
      <x:c r="O52" s="5" t="inlineStr">
        <x:is>
          <x:t xml:space="preserve">Hold</x:t>
        </x:is>
      </x:c>
    </x:row>
    <x:row r="53">
      <x:c r="A53" s="5" t="inlineStr">
        <x:is>
          <x:t xml:space="preserve">EMP37235</x:t>
        </x:is>
      </x:c>
      <x:c r="B53" s="6" t="inlineStr">
        <x:is>
          <x:t xml:space="preserve">Isla Jackson</x:t>
        </x:is>
      </x:c>
      <x:c r="C53" s="6" t="inlineStr">
        <x:is>
          <x:t xml:space="preserve">HR Shared Services</x:t>
        </x:is>
      </x:c>
      <x:c r="D53" s="5" t="inlineStr">
        <x:is>
          <x:t xml:space="preserve">Mumbai</x:t>
        </x:is>
      </x:c>
      <x:c r="E53" s="36" t="n">
        <x:v>44638</x:v>
      </x:c>
      <x:c r="F53" s="37" t="n">
        <x:v>26919</x:v>
      </x:c>
      <x:c r="G53" s="37" t="n">
        <x:v>9422</x:v>
      </x:c>
      <x:c r="H53" s="37" t="n">
        <x:v>1500</x:v>
      </x:c>
      <x:c r="I53" s="37" t="n">
        <x:v>4346</x:v>
      </x:c>
      <x:c r="J53" s="37" t="n">
        <x:v>33495</x:v>
      </x:c>
      <x:c r="K53" s="5" t="inlineStr">
        <x:is>
          <x:t xml:space="preserve">Active</x:t>
        </x:is>
      </x:c>
      <x:c r="L53" s="5" t="inlineStr">
        <x:is>
          <x:t xml:space="preserve">Pending</x:t>
        </x:is>
      </x:c>
      <x:c r="M53" s="9" t="n">
        <x:v>22</x:v>
      </x:c>
      <x:c r="N53" s="9" t="n">
        <x:v>0</x:v>
      </x:c>
      <x:c r="O53" s="5" t="inlineStr">
        <x:is>
          <x:t xml:space="preserve">Processed</x:t>
        </x:is>
      </x:c>
    </x:row>
    <x:row r="54">
      <x:c r="A54" s="5" t="inlineStr">
        <x:is>
          <x:t xml:space="preserve">EMP47056</x:t>
        </x:is>
      </x:c>
      <x:c r="B54" s="6" t="inlineStr">
        <x:is>
          <x:t xml:space="preserve">Vikram Brown</x:t>
        </x:is>
      </x:c>
      <x:c r="C54" s="6" t="inlineStr">
        <x:is>
          <x:t xml:space="preserve">Benefits Team</x:t>
        </x:is>
      </x:c>
      <x:c r="D54" s="5" t="inlineStr">
        <x:is>
          <x:t xml:space="preserve">Chennai</x:t>
        </x:is>
      </x:c>
      <x:c r="E54" s="36" t="n">
        <x:v>44746</x:v>
      </x:c>
      <x:c r="F54" s="37" t="n">
        <x:v>57688</x:v>
      </x:c>
      <x:c r="G54" s="37" t="n">
        <x:v>20191</x:v>
      </x:c>
      <x:c r="H54" s="37" t="n">
        <x:v>3000</x:v>
      </x:c>
      <x:c r="I54" s="37" t="n">
        <x:v>3176</x:v>
      </x:c>
      <x:c r="J54" s="37" t="n">
        <x:v>77703</x:v>
      </x:c>
      <x:c r="K54" s="5" t="inlineStr">
        <x:is>
          <x:t xml:space="preserve">Verified</x:t>
        </x:is>
      </x:c>
      <x:c r="L54" s="5" t="inlineStr">
        <x:is>
          <x:t xml:space="preserve">Verified</x:t>
        </x:is>
      </x:c>
      <x:c r="M54" s="9" t="n">
        <x:v>18</x:v>
      </x:c>
      <x:c r="N54" s="9" t="n">
        <x:v>2</x:v>
      </x:c>
      <x:c r="O54" s="5" t="inlineStr">
        <x:is>
          <x:t xml:space="preserve">Pending</x:t>
        </x:is>
      </x:c>
    </x:row>
    <x:row r="55">
      <x:c r="A55" s="5" t="inlineStr">
        <x:is>
          <x:t xml:space="preserve">EMP87993</x:t>
        </x:is>
      </x:c>
      <x:c r="B55" s="6" t="inlineStr">
        <x:is>
          <x:t xml:space="preserve">Lucas Mehta</x:t>
        </x:is>
      </x:c>
      <x:c r="C55" s="6" t="inlineStr">
        <x:is>
          <x:t xml:space="preserve">HR Shared Services</x:t>
        </x:is>
      </x:c>
      <x:c r="D55" s="5" t="inlineStr">
        <x:is>
          <x:t xml:space="preserve">Kolkata</x:t>
        </x:is>
      </x:c>
      <x:c r="E55" s="36" t="n">
        <x:v>45273</x:v>
      </x:c>
      <x:c r="F55" s="37" t="n">
        <x:v>39841</x:v>
      </x:c>
      <x:c r="G55" s="37" t="n">
        <x:v>17928</x:v>
      </x:c>
      <x:c r="H55" s="37" t="n">
        <x:v>12000</x:v>
      </x:c>
      <x:c r="I55" s="37" t="n">
        <x:v>4586</x:v>
      </x:c>
      <x:c r="J55" s="37" t="n">
        <x:v>65183</x:v>
      </x:c>
      <x:c r="K55" s="5" t="inlineStr">
        <x:is>
          <x:t xml:space="preserve">Verified</x:t>
        </x:is>
      </x:c>
      <x:c r="L55" s="5" t="inlineStr">
        <x:is>
          <x:t xml:space="preserve">Verified</x:t>
        </x:is>
      </x:c>
      <x:c r="M55" s="9" t="n">
        <x:v>24</x:v>
      </x:c>
      <x:c r="N55" s="9" t="n">
        <x:v>5</x:v>
      </x:c>
      <x:c r="O55" s="5" t="inlineStr">
        <x:is>
          <x:t xml:space="preserve">Processed</x:t>
        </x:is>
      </x:c>
    </x:row>
    <x:row r="56">
      <x:c r="A56" s="5" t="inlineStr">
        <x:is>
          <x:t xml:space="preserve">EMP13390</x:t>
        </x:is>
      </x:c>
      <x:c r="B56" s="6" t="inlineStr">
        <x:is>
          <x:t xml:space="preserve">Arjun Iyer</x:t>
        </x:is>
      </x:c>
      <x:c r="C56" s="6" t="inlineStr">
        <x:is>
          <x:t xml:space="preserve">Consulting Ops</x:t>
        </x:is>
      </x:c>
      <x:c r="D56" s="5" t="inlineStr">
        <x:is>
          <x:t xml:space="preserve">Hyderabad</x:t>
        </x:is>
      </x:c>
      <x:c r="E56" s="36" t="n">
        <x:v>45201</x:v>
      </x:c>
      <x:c r="F56" s="37" t="n"/>
      <x:c r="G56" s="37" t="n">
        <x:v>25204</x:v>
      </x:c>
      <x:c r="H56" s="37" t="n">
        <x:v>12000</x:v>
      </x:c>
      <x:c r="I56" s="37" t="n">
        <x:v>5251</x:v>
      </x:c>
      <x:c r="J56" s="37" t="n">
        <x:v>30174</x:v>
      </x:c>
      <x:c r="K56" s="5" t="inlineStr">
        <x:is>
          <x:t xml:space="preserve">Pending Verification</x:t>
        </x:is>
      </x:c>
      <x:c r="L56" s="5" t="inlineStr">
        <x:is>
          <x:t xml:space="preserve">Pending</x:t>
        </x:is>
      </x:c>
      <x:c r="M56" s="9" t="n">
        <x:v>22</x:v>
      </x:c>
      <x:c r="N56" s="9" t="n">
        <x:v>2</x:v>
      </x:c>
      <x:c r="O56" s="5" t="inlineStr">
        <x:is>
          <x:t xml:space="preserve">Hold</x:t>
        </x:is>
      </x:c>
    </x:row>
    <x:row r="57">
      <x:c r="A57" s="5" t="inlineStr">
        <x:is>
          <x:t xml:space="preserve">EMP67132</x:t>
        </x:is>
      </x:c>
      <x:c r="B57" s="6" t="inlineStr">
        <x:is>
          <x:t xml:space="preserve">Charlotte Brown</x:t>
        </x:is>
      </x:c>
      <x:c r="C57" s="6" t="inlineStr">
        <x:is>
          <x:t xml:space="preserve">Audit Support</x:t>
        </x:is>
      </x:c>
      <x:c r="D57" s="5" t="inlineStr">
        <x:is>
          <x:t xml:space="preserve">Gurgaon</x:t>
        </x:is>
      </x:c>
      <x:c r="E57" s="36" t="n">
        <x:v>45454</x:v>
      </x:c>
      <x:c r="F57" s="37" t="n">
        <x:v>65917</x:v>
      </x:c>
      <x:c r="G57" s="37" t="n">
        <x:v>23071</x:v>
      </x:c>
      <x:c r="H57" s="37" t="n">
        <x:v>3000</x:v>
      </x:c>
      <x:c r="I57" s="37" t="n">
        <x:v>3701</x:v>
      </x:c>
      <x:c r="J57" s="37" t="n">
        <x:v>88287</x:v>
      </x:c>
      <x:c r="K57" s="5" t="inlineStr">
        <x:is>
          <x:t xml:space="preserve">Active</x:t>
        </x:is>
      </x:c>
      <x:c r="L57" s="5" t="inlineStr">
        <x:is>
          <x:t xml:space="preserve">Pending</x:t>
        </x:is>
      </x:c>
      <x:c r="M57" s="9" t="n">
        <x:v>22</x:v>
      </x:c>
      <x:c r="N57" s="9" t="n">
        <x:v>6</x:v>
      </x:c>
      <x:c r="O57" s="5" t="inlineStr">
        <x:is>
          <x:t xml:space="preserve">Pending</x:t>
        </x:is>
      </x:c>
    </x:row>
    <x:row r="58">
      <x:c r="A58" s="5" t="inlineStr">
        <x:is>
          <x:t xml:space="preserve">EMP82102</x:t>
        </x:is>
      </x:c>
      <x:c r="B58" s="6" t="inlineStr">
        <x:is>
          <x:t xml:space="preserve">Akash Mehta</x:t>
        </x:is>
      </x:c>
      <x:c r="C58" s="6" t="inlineStr">
        <x:is>
          <x:t xml:space="preserve">HR Shared Services</x:t>
        </x:is>
      </x:c>
      <x:c r="D58" s="5" t="inlineStr">
        <x:is>
          <x:t xml:space="preserve">Gurgaon</x:t>
        </x:is>
      </x:c>
      <x:c r="E58" s="36" t="n">
        <x:v>45081</x:v>
      </x:c>
      <x:c r="F58" s="37" t="n">
        <x:v>72629</x:v>
      </x:c>
      <x:c r="G58" s="37" t="n">
        <x:v>29052</x:v>
      </x:c>
      <x:c r="H58" s="37" t="n">
        <x:v>1500</x:v>
      </x:c>
      <x:c r="I58" s="37" t="n">
        <x:v>6387</x:v>
      </x:c>
      <x:c r="J58" s="37" t="n">
        <x:v>96794</x:v>
      </x:c>
      <x:c r="K58" s="5" t="inlineStr">
        <x:is>
          <x:t xml:space="preserve">Pending Verification</x:t>
        </x:is>
      </x:c>
      <x:c r="L58" s="5" t="inlineStr">
        <x:is>
          <x:t xml:space="preserve">Pending</x:t>
        </x:is>
      </x:c>
      <x:c r="M58" s="9" t="n">
        <x:v>24</x:v>
      </x:c>
      <x:c r="N58" s="9" t="n">
        <x:v>0</x:v>
      </x:c>
      <x:c r="O58" s="5" t="inlineStr">
        <x:is>
          <x:t xml:space="preserve">Processed</x:t>
        </x:is>
      </x:c>
    </x:row>
    <x:row r="59">
      <x:c r="A59" s="5" t="inlineStr">
        <x:is>
          <x:t xml:space="preserve">EMP57419</x:t>
        </x:is>
      </x:c>
      <x:c r="B59" s="6" t="inlineStr">
        <x:is>
          <x:t xml:space="preserve">Charlotte Rao</x:t>
        </x:is>
      </x:c>
      <x:c r="C59" s="6" t="inlineStr">
        <x:is>
          <x:t xml:space="preserve">Audit Support</x:t>
        </x:is>
      </x:c>
      <x:c r="D59" s="5" t="inlineStr">
        <x:is>
          <x:t xml:space="preserve">Hyderabad</x:t>
        </x:is>
      </x:c>
      <x:c r="E59" s="36" t="n">
        <x:v>44699</x:v>
      </x:c>
      <x:c r="F59" s="37" t="n">
        <x:v>30586</x:v>
      </x:c>
      <x:c r="G59" s="37" t="n">
        <x:v>12234</x:v>
      </x:c>
      <x:c r="H59" s="37" t="n">
        <x:v>12000</x:v>
      </x:c>
      <x:c r="I59" s="37" t="n">
        <x:v>6720</x:v>
      </x:c>
      <x:c r="J59" s="37" t="n">
        <x:v>48100</x:v>
      </x:c>
      <x:c r="K59" s="5" t="inlineStr">
        <x:is>
          <x:t xml:space="preserve">Active</x:t>
        </x:is>
      </x:c>
      <x:c r="L59" s="5" t="inlineStr">
        <x:is>
          <x:t xml:space="preserve">Verified</x:t>
        </x:is>
      </x:c>
      <x:c r="M59" s="9" t="n">
        <x:v>18</x:v>
      </x:c>
      <x:c r="N59" s="9" t="n">
        <x:v>3</x:v>
      </x:c>
      <x:c r="O59" s="5" t="inlineStr">
        <x:is>
          <x:t xml:space="preserve">Processed</x:t>
        </x:is>
      </x:c>
    </x:row>
    <x:row r="60">
      <x:c r="A60" s="5" t="inlineStr">
        <x:is>
          <x:t xml:space="preserve">EMP50730</x:t>
        </x:is>
      </x:c>
      <x:c r="B60" s="6" t="inlineStr">
        <x:is>
          <x:t xml:space="preserve">Aarav Nair</x:t>
        </x:is>
      </x:c>
      <x:c r="C60" s="6" t="inlineStr">
        <x:is>
          <x:t xml:space="preserve">Risk Advisory</x:t>
        </x:is>
      </x:c>
      <x:c r="D60" s="5" t="inlineStr">
        <x:is>
          <x:t xml:space="preserve">Bengaluru</x:t>
        </x:is>
      </x:c>
      <x:c r="E60" s="36" t="n">
        <x:v>44607</x:v>
      </x:c>
      <x:c r="F60" s="37" t="n">
        <x:v>29698</x:v>
      </x:c>
      <x:c r="G60" s="37" t="n">
        <x:v>13364</x:v>
      </x:c>
      <x:c r="H60" s="37" t="n">
        <x:v>3000</x:v>
      </x:c>
      <x:c r="I60" s="37" t="n">
        <x:v>5082</x:v>
      </x:c>
      <x:c r="J60" s="37" t="n">
        <x:v>40980</x:v>
      </x:c>
      <x:c r="K60" s="5" t="inlineStr">
        <x:is>
          <x:t xml:space="preserve">Pending Verification</x:t>
        </x:is>
      </x:c>
      <x:c r="L60" s="5" t="inlineStr">
        <x:is>
          <x:t xml:space="preserve">Pending</x:t>
        </x:is>
      </x:c>
      <x:c r="M60" s="9" t="n">
        <x:v>26</x:v>
      </x:c>
      <x:c r="N60" s="9" t="n">
        <x:v>5</x:v>
      </x:c>
      <x:c r="O60" s="5" t="inlineStr">
        <x:is>
          <x:t xml:space="preserve">Done</x:t>
        </x:is>
      </x:c>
    </x:row>
    <x:row r="61">
      <x:c r="A61" s="5" t="inlineStr">
        <x:is>
          <x:t xml:space="preserve">EMP73242</x:t>
        </x:is>
      </x:c>
      <x:c r="B61" s="6" t="inlineStr">
        <x:is>
          <x:t xml:space="preserve">William Iyer</x:t>
        </x:is>
      </x:c>
      <x:c r="C61" s="6" t="inlineStr">
        <x:is>
          <x:t xml:space="preserve">Audit Support</x:t>
        </x:is>
      </x:c>
      <x:c r="D61" s="5" t="inlineStr">
        <x:is>
          <x:t xml:space="preserve">Mumbai</x:t>
        </x:is>
      </x:c>
      <x:c r="E61" s="36" t="n">
        <x:v>45402</x:v>
      </x:c>
      <x:c r="F61" s="37" t="n">
        <x:v>55308</x:v>
      </x:c>
      <x:c r="G61" s="37" t="n">
        <x:v>24889</x:v>
      </x:c>
      <x:c r="H61" s="37" t="n">
        <x:v>3000</x:v>
      </x:c>
      <x:c r="I61" s="37" t="n">
        <x:v>1571</x:v>
      </x:c>
      <x:c r="J61" s="37" t="n">
        <x:v>81626</x:v>
      </x:c>
      <x:c r="K61" s="5" t="inlineStr">
        <x:is>
          <x:t xml:space="preserve">Active</x:t>
        </x:is>
      </x:c>
      <x:c r="L61" s="5" t="inlineStr">
        <x:is>
          <x:t xml:space="preserve">Pending</x:t>
        </x:is>
      </x:c>
      <x:c r="M61" s="9" t="n">
        <x:v>23</x:v>
      </x:c>
      <x:c r="N61" s="9" t="n">
        <x:v>8</x:v>
      </x:c>
      <x:c r="O61" s="5" t="inlineStr">
        <x:is>
          <x:t xml:space="preserve">Processed</x:t>
        </x:is>
      </x:c>
    </x:row>
    <x:row r="62">
      <x:c r="A62" s="5" t="inlineStr">
        <x:is>
          <x:t xml:space="preserve">EMP10336</x:t>
        </x:is>
      </x:c>
      <x:c r="B62" s="6" t="inlineStr">
        <x:is>
          <x:t xml:space="preserve">Lucas Sharma</x:t>
        </x:is>
      </x:c>
      <x:c r="C62" s="6" t="inlineStr">
        <x:is>
          <x:t xml:space="preserve">Talent Ops</x:t>
        </x:is>
      </x:c>
      <x:c r="D62" s="5" t="inlineStr">
        <x:is>
          <x:t xml:space="preserve">Kolkata</x:t>
        </x:is>
      </x:c>
      <x:c r="E62" s="36" t="n">
        <x:v>44791</x:v>
      </x:c>
      <x:c r="F62" s="37" t="n">
        <x:v>53741</x:v>
      </x:c>
      <x:c r="G62" s="37" t="n">
        <x:v>21496</x:v>
      </x:c>
      <x:c r="H62" s="37" t="n">
        <x:v>7500</x:v>
      </x:c>
      <x:c r="I62" s="37" t="n">
        <x:v>5521</x:v>
      </x:c>
      <x:c r="J62" s="37" t="n">
        <x:v>77216</x:v>
      </x:c>
      <x:c r="K62" s="5" t="inlineStr">
        <x:is>
          <x:t xml:space="preserve">Pending Verification</x:t>
        </x:is>
      </x:c>
      <x:c r="L62" s="5" t="inlineStr">
        <x:is>
          <x:t xml:space="preserve">Pending</x:t>
        </x:is>
      </x:c>
      <x:c r="M62" s="9" t="n">
        <x:v>25</x:v>
      </x:c>
      <x:c r="N62" s="9" t="n">
        <x:v>2</x:v>
      </x:c>
      <x:c r="O62" s="5" t="inlineStr">
        <x:is>
          <x:t xml:space="preserve">Pending</x:t>
        </x:is>
      </x:c>
    </x:row>
    <x:row r="63">
      <x:c r="A63" s="5" t="inlineStr">
        <x:is>
          <x:t xml:space="preserve">EMP41300</x:t>
        </x:is>
      </x:c>
      <x:c r="B63" s="6" t="inlineStr">
        <x:is>
          <x:t xml:space="preserve">Priya Iyer</x:t>
        </x:is>
      </x:c>
      <x:c r="C63" s="6" t="inlineStr">
        <x:is>
          <x:t xml:space="preserve">Risk Advisory</x:t>
        </x:is>
      </x:c>
      <x:c r="D63" s="5" t="inlineStr">
        <x:is>
          <x:t xml:space="preserve">Hyderabad</x:t>
        </x:is>
      </x:c>
      <x:c r="E63" s="36" t="n">
        <x:v>45276</x:v>
      </x:c>
      <x:c r="F63" s="37" t="n">
        <x:v>68217</x:v>
      </x:c>
      <x:c r="G63" s="37" t="n">
        <x:v>27287</x:v>
      </x:c>
      <x:c r="H63" s="37" t="n">
        <x:v>9000</x:v>
      </x:c>
      <x:c r="I63" s="37" t="n">
        <x:v>6436</x:v>
      </x:c>
      <x:c r="J63" s="37" t="n">
        <x:v>98068</x:v>
      </x:c>
      <x:c r="K63" s="5" t="inlineStr">
        <x:is>
          <x:t xml:space="preserve">Pending Verification</x:t>
        </x:is>
      </x:c>
      <x:c r="L63" s="5" t="inlineStr">
        <x:is>
          <x:t xml:space="preserve">Verified</x:t>
        </x:is>
      </x:c>
      <x:c r="M63" s="9" t="n">
        <x:v>25</x:v>
      </x:c>
      <x:c r="N63" s="9" t="n">
        <x:v>0</x:v>
      </x:c>
      <x:c r="O63" s="5" t="inlineStr">
        <x:is>
          <x:t xml:space="preserve">Processed</x:t>
        </x:is>
      </x:c>
    </x:row>
    <x:row r="64">
      <x:c r="A64" s="5" t="inlineStr">
        <x:is>
          <x:t xml:space="preserve">EMP87356</x:t>
        </x:is>
      </x:c>
      <x:c r="B64" s="6" t="inlineStr">
        <x:is>
          <x:t xml:space="preserve">Noah Thompson</x:t>
        </x:is>
      </x:c>
      <x:c r="C64" s="6" t="inlineStr">
        <x:is>
          <x:t xml:space="preserve">HR Shared Services</x:t>
        </x:is>
      </x:c>
      <x:c r="D64" s="5" t="inlineStr">
        <x:is>
          <x:t xml:space="preserve">Kolkata</x:t>
        </x:is>
      </x:c>
      <x:c r="E64" s="36" t="n">
        <x:v>44454</x:v>
      </x:c>
      <x:c r="F64" s="37" t="n">
        <x:v>23005</x:v>
      </x:c>
      <x:c r="G64" s="37" t="n">
        <x:v>10352</x:v>
      </x:c>
      <x:c r="H64" s="37" t="n">
        <x:v>3000</x:v>
      </x:c>
      <x:c r="I64" s="37" t="n">
        <x:v>4358</x:v>
      </x:c>
      <x:c r="J64" s="37" t="n">
        <x:v>31999</x:v>
      </x:c>
      <x:c r="K64" s="5" t="inlineStr">
        <x:is>
          <x:t xml:space="preserve">Pending Verification</x:t>
        </x:is>
      </x:c>
      <x:c r="L64" s="5" t="inlineStr">
        <x:is>
          <x:t xml:space="preserve">Verified</x:t>
        </x:is>
      </x:c>
      <x:c r="M64" s="9" t="n">
        <x:v>19</x:v>
      </x:c>
      <x:c r="N64" s="9" t="n">
        <x:v>7</x:v>
      </x:c>
      <x:c r="O64" s="5" t="inlineStr">
        <x:is>
          <x:t xml:space="preserve">Pending</x:t>
        </x:is>
      </x:c>
    </x:row>
    <x:row r="65">
      <x:c r="A65" s="5" t="inlineStr">
        <x:is>
          <x:t xml:space="preserve">EMP44737</x:t>
        </x:is>
      </x:c>
      <x:c r="B65" s="6" t="inlineStr">
        <x:is>
          <x:t xml:space="preserve">Noah Pillai</x:t>
        </x:is>
      </x:c>
      <x:c r="C65" s="6" t="inlineStr">
        <x:is>
          <x:t xml:space="preserve">Risk Advisory</x:t>
        </x:is>
      </x:c>
      <x:c r="D65" s="5" t="inlineStr">
        <x:is>
          <x:t xml:space="preserve">Bengaluru</x:t>
        </x:is>
      </x:c>
      <x:c r="E65" s="36" t="n">
        <x:v>45258</x:v>
      </x:c>
      <x:c r="F65" s="37" t="n">
        <x:v>56971</x:v>
      </x:c>
      <x:c r="G65" s="37" t="n">
        <x:v>22788</x:v>
      </x:c>
      <x:c r="H65" s="37" t="n">
        <x:v>7500</x:v>
      </x:c>
      <x:c r="I65" s="37" t="n">
        <x:v>6134</x:v>
      </x:c>
      <x:c r="J65" s="37" t="n">
        <x:v>81125</x:v>
      </x:c>
      <x:c r="K65" s="5" t="inlineStr">
        <x:is>
          <x:t xml:space="preserve">Pending Verification</x:t>
        </x:is>
      </x:c>
      <x:c r="L65" s="5" t="inlineStr">
        <x:is>
          <x:t xml:space="preserve">Pending</x:t>
        </x:is>
      </x:c>
      <x:c r="M65" s="9" t="n">
        <x:v>31</x:v>
      </x:c>
      <x:c r="N65" s="9" t="n">
        <x:v>0</x:v>
      </x:c>
      <x:c r="O65" s="5" t="inlineStr">
        <x:is>
          <x:t xml:space="preserve">Processed</x:t>
        </x:is>
      </x:c>
    </x:row>
    <x:row r="66">
      <x:c r="A66" s="5" t="inlineStr">
        <x:is>
          <x:t xml:space="preserve">EMP40771</x:t>
        </x:is>
      </x:c>
      <x:c r="B66" s="6" t="inlineStr">
        <x:is>
          <x:t xml:space="preserve">Lucas Iyer</x:t>
        </x:is>
      </x:c>
      <x:c r="C66" s="6" t="inlineStr">
        <x:is>
          <x:t xml:space="preserve">HR Shared Services</x:t>
        </x:is>
      </x:c>
      <x:c r="D66" s="5" t="inlineStr">
        <x:is>
          <x:t xml:space="preserve">Noida</x:t>
        </x:is>
      </x:c>
      <x:c r="E66" s="36" t="n">
        <x:v>44523</x:v>
      </x:c>
      <x:c r="F66" s="37" t="n">
        <x:v>28586</x:v>
      </x:c>
      <x:c r="G66" s="37" t="n">
        <x:v>11434</x:v>
      </x:c>
      <x:c r="H66" s="37" t="n">
        <x:v>3000</x:v>
      </x:c>
      <x:c r="I66" s="37" t="n">
        <x:v>-1208</x:v>
      </x:c>
      <x:c r="J66" s="37" t="n">
        <x:v>44228</x:v>
      </x:c>
      <x:c r="K66" s="5" t="inlineStr">
        <x:is>
          <x:t xml:space="preserve">Active</x:t>
        </x:is>
      </x:c>
      <x:c r="L66" s="5" t="inlineStr">
        <x:is>
          <x:t xml:space="preserve">Verified</x:t>
        </x:is>
      </x:c>
      <x:c r="M66" s="9" t="n">
        <x:v>18</x:v>
      </x:c>
      <x:c r="N66" s="9" t="n">
        <x:v>5</x:v>
      </x:c>
      <x:c r="O66" s="5" t="inlineStr">
        <x:is>
          <x:t xml:space="preserve">Pending</x:t>
        </x:is>
      </x:c>
    </x:row>
    <x:row r="67">
      <x:c r="A67" s="5" t="inlineStr">
        <x:is>
          <x:t xml:space="preserve">EMP50730</x:t>
        </x:is>
      </x:c>
      <x:c r="B67" s="6" t="inlineStr">
        <x:is>
          <x:t xml:space="preserve">Oliver Kumar</x:t>
        </x:is>
      </x:c>
      <x:c r="C67" s="6" t="inlineStr">
        <x:is>
          <x:t xml:space="preserve">Risk Advisory</x:t>
        </x:is>
      </x:c>
      <x:c r="D67" s="5" t="inlineStr">
        <x:is>
          <x:t xml:space="preserve">Mumbai</x:t>
        </x:is>
      </x:c>
      <x:c r="E67" s="36" t="n">
        <x:v>44818</x:v>
      </x:c>
      <x:c r="F67" s="37" t="n">
        <x:v>59088</x:v>
      </x:c>
      <x:c r="G67" s="37" t="n">
        <x:v>26590</x:v>
      </x:c>
      <x:c r="H67" s="37" t="n">
        <x:v>3000</x:v>
      </x:c>
      <x:c r="I67" s="37" t="n">
        <x:v>2392</x:v>
      </x:c>
      <x:c r="J67" s="37" t="n">
        <x:v>86286</x:v>
      </x:c>
      <x:c r="K67" s="5" t="inlineStr">
        <x:is>
          <x:t xml:space="preserve">Verified</x:t>
        </x:is>
      </x:c>
      <x:c r="L67" s="5" t="inlineStr">
        <x:is>
          <x:t xml:space="preserve">Verified</x:t>
        </x:is>
      </x:c>
      <x:c r="M67" s="9" t="n">
        <x:v>27</x:v>
      </x:c>
      <x:c r="N67" s="9" t="n">
        <x:v>3</x:v>
      </x:c>
      <x:c r="O67" s="5" t="inlineStr">
        <x:is>
          <x:t xml:space="preserve">Processed</x:t>
        </x:is>
      </x:c>
    </x:row>
    <x:row r="68">
      <x:c r="A68" s="5" t="inlineStr">
        <x:is>
          <x:t xml:space="preserve">EMP41566</x:t>
        </x:is>
      </x:c>
      <x:c r="B68" s="6" t="inlineStr">
        <x:is>
          <x:t xml:space="preserve">Charlotte White</x:t>
        </x:is>
      </x:c>
      <x:c r="C68" s="6" t="inlineStr">
        <x:is>
          <x:t xml:space="preserve">Consulting Ops</x:t>
        </x:is>
      </x:c>
      <x:c r="D68" s="5" t="inlineStr">
        <x:is>
          <x:t xml:space="preserve">Mumbai</x:t>
        </x:is>
      </x:c>
      <x:c r="E68" s="36" t="n">
        <x:v>44794</x:v>
      </x:c>
      <x:c r="F68" s="37" t="n">
        <x:v>38644</x:v>
      </x:c>
      <x:c r="G68" s="37" t="n">
        <x:v>15458</x:v>
      </x:c>
      <x:c r="H68" s="37" t="n">
        <x:v>6000</x:v>
      </x:c>
      <x:c r="I68" s="37" t="n">
        <x:v>-1367</x:v>
      </x:c>
      <x:c r="J68" s="37" t="n">
        <x:v>61469</x:v>
      </x:c>
      <x:c r="K68" s="5" t="inlineStr">
        <x:is>
          <x:t xml:space="preserve">Verified</x:t>
        </x:is>
      </x:c>
      <x:c r="L68" s="5" t="inlineStr">
        <x:is>
          <x:t xml:space="preserve">Pending</x:t>
        </x:is>
      </x:c>
      <x:c r="M68" s="9" t="n">
        <x:v>22</x:v>
      </x:c>
      <x:c r="N68" s="9" t="n">
        <x:v>8</x:v>
      </x:c>
      <x:c r="O68" s="5" t="inlineStr">
        <x:is>
          <x:t xml:space="preserve">Processed</x:t>
        </x:is>
      </x:c>
    </x:row>
    <x:row r="69">
      <x:c r="A69" s="5" t="inlineStr">
        <x:is>
          <x:t xml:space="preserve">EMP67898</x:t>
        </x:is>
      </x:c>
      <x:c r="B69" s="6" t="inlineStr">
        <x:is>
          <x:t xml:space="preserve">Oliver Patel</x:t>
        </x:is>
      </x:c>
      <x:c r="C69" s="6" t="inlineStr">
        <x:is>
          <x:t xml:space="preserve">Talent Ops</x:t>
        </x:is>
      </x:c>
      <x:c r="D69" s="5" t="inlineStr">
        <x:is>
          <x:t xml:space="preserve">Noida</x:t>
        </x:is>
      </x:c>
      <x:c r="E69" s="36" t="n">
        <x:v>45166</x:v>
      </x:c>
      <x:c r="F69" s="37" t="n">
        <x:v>41799</x:v>
      </x:c>
      <x:c r="G69" s="37" t="n">
        <x:v>14630</x:v>
      </x:c>
      <x:c r="H69" s="37" t="n">
        <x:v>9000</x:v>
      </x:c>
      <x:c r="I69" s="37" t="n">
        <x:v>7990</x:v>
      </x:c>
      <x:c r="J69" s="37" t="n">
        <x:v>57439</x:v>
      </x:c>
      <x:c r="K69" s="5" t="inlineStr">
        <x:is>
          <x:t xml:space="preserve">Active</x:t>
        </x:is>
      </x:c>
      <x:c r="L69" s="5" t="inlineStr">
        <x:is>
          <x:t xml:space="preserve">Verified</x:t>
        </x:is>
      </x:c>
      <x:c r="M69" s="9" t="n">
        <x:v>21</x:v>
      </x:c>
      <x:c r="N69" s="9" t="n">
        <x:v>6</x:v>
      </x:c>
      <x:c r="O69" s="5" t="inlineStr">
        <x:is>
          <x:t xml:space="preserve">Processed</x:t>
        </x:is>
      </x:c>
    </x:row>
    <x:row r="70">
      <x:c r="A70" s="5" t="inlineStr">
        <x:is>
          <x:t xml:space="preserve">EMP85341</x:t>
        </x:is>
      </x:c>
      <x:c r="B70" s="6" t="inlineStr">
        <x:is>
          <x:t xml:space="preserve">Lucas Shah</x:t>
        </x:is>
      </x:c>
      <x:c r="C70" s="6" t="inlineStr">
        <x:is>
          <x:t xml:space="preserve">Talent Ops</x:t>
        </x:is>
      </x:c>
      <x:c r="D70" s="5" t="inlineStr">
        <x:is>
          <x:t xml:space="preserve">Hyderabad</x:t>
        </x:is>
      </x:c>
      <x:c r="E70" s="36" t="n">
        <x:v>45413</x:v>
      </x:c>
      <x:c r="F70" s="37" t="n">
        <x:v>59088</x:v>
      </x:c>
      <x:c r="G70" s="37" t="n">
        <x:v>26590</x:v>
      </x:c>
      <x:c r="H70" s="37" t="n">
        <x:v>1500</x:v>
      </x:c>
      <x:c r="I70" s="37" t="n">
        <x:v>5967</x:v>
      </x:c>
      <x:c r="J70" s="37" t="n">
        <x:v>81211</x:v>
      </x:c>
      <x:c r="K70" s="5" t="inlineStr">
        <x:is>
          <x:t xml:space="preserve">Pending Verification</x:t>
        </x:is>
      </x:c>
      <x:c r="L70" s="5" t="inlineStr">
        <x:is>
          <x:t xml:space="preserve">Pending</x:t>
        </x:is>
      </x:c>
      <x:c r="M70" s="9" t="n">
        <x:v>31</x:v>
      </x:c>
      <x:c r="N70" s="9" t="n">
        <x:v>0</x:v>
      </x:c>
      <x:c r="O70" s="5" t="inlineStr">
        <x:is>
          <x:t xml:space="preserve">Completed</x:t>
        </x:is>
      </x:c>
    </x:row>
    <x:row r="71">
      <x:c r="A71" s="5" t="inlineStr">
        <x:is>
          <x:t xml:space="preserve">EMP40162</x:t>
        </x:is>
      </x:c>
      <x:c r="B71" s="6" t="inlineStr">
        <x:is>
          <x:t xml:space="preserve">Oliver Iyer</x:t>
        </x:is>
      </x:c>
      <x:c r="C71" s="6" t="inlineStr">
        <x:is>
          <x:t xml:space="preserve">Benefits Team</x:t>
        </x:is>
      </x:c>
      <x:c r="D71" s="5" t="inlineStr">
        <x:is>
          <x:t xml:space="preserve">Chennai</x:t>
        </x:is>
      </x:c>
      <x:c r="E71" s="36" t="n">
        <x:v>44869</x:v>
      </x:c>
      <x:c r="F71" s="37" t="n">
        <x:v>63121</x:v>
      </x:c>
      <x:c r="G71" s="37" t="n">
        <x:v>28404</x:v>
      </x:c>
      <x:c r="H71" s="37" t="n">
        <x:v>1500</x:v>
      </x:c>
      <x:c r="I71" s="37" t="n">
        <x:v>3530</x:v>
      </x:c>
      <x:c r="J71" s="37" t="n">
        <x:v>89495</x:v>
      </x:c>
      <x:c r="K71" s="5" t="inlineStr">
        <x:is>
          <x:t xml:space="preserve">Active</x:t>
        </x:is>
      </x:c>
      <x:c r="L71" s="5" t="inlineStr">
        <x:is>
          <x:t xml:space="preserve">Verified</x:t>
        </x:is>
      </x:c>
      <x:c r="M71" s="9" t="n">
        <x:v>27</x:v>
      </x:c>
      <x:c r="N71" s="9" t="n">
        <x:v>2</x:v>
      </x:c>
      <x:c r="O71" s="5" t="inlineStr">
        <x:is>
          <x:t xml:space="preserve">Processed</x:t>
        </x:is>
      </x:c>
    </x:row>
    <x:row r="72">
      <x:c r="A72" s="5" t="inlineStr">
        <x:is>
          <x:t xml:space="preserve">EMP21813</x:t>
        </x:is>
      </x:c>
      <x:c r="B72" s="6" t="inlineStr">
        <x:is>
          <x:t xml:space="preserve">Lucas Khan</x:t>
        </x:is>
      </x:c>
      <x:c r="C72" s="6" t="inlineStr">
        <x:is>
          <x:t xml:space="preserve">Risk Advisory</x:t>
        </x:is>
      </x:c>
      <x:c r="D72" s="5" t="inlineStr">
        <x:is>
          <x:t xml:space="preserve">Mumbai</x:t>
        </x:is>
      </x:c>
      <x:c r="E72" s="36" t="n">
        <x:v>44646</x:v>
      </x:c>
      <x:c r="F72" s="37" t="n">
        <x:v>57350</x:v>
      </x:c>
      <x:c r="G72" s="37" t="n">
        <x:v>22940</x:v>
      </x:c>
      <x:c r="H72" s="37" t="n">
        <x:v>6000</x:v>
      </x:c>
      <x:c r="I72" s="37" t="n">
        <x:v>7803</x:v>
      </x:c>
      <x:c r="J72" s="37" t="n">
        <x:v>78487</x:v>
      </x:c>
      <x:c r="K72" s="5" t="inlineStr">
        <x:is>
          <x:t xml:space="preserve">Verified</x:t>
        </x:is>
      </x:c>
      <x:c r="L72" s="5" t="inlineStr">
        <x:is>
          <x:t xml:space="preserve">Pending</x:t>
        </x:is>
      </x:c>
      <x:c r="M72" s="9" t="n">
        <x:v>31</x:v>
      </x:c>
      <x:c r="N72" s="9" t="n">
        <x:v>0</x:v>
      </x:c>
      <x:c r="O72" s="5" t="inlineStr">
        <x:is>
          <x:t xml:space="preserve">Hold</x:t>
        </x:is>
      </x:c>
    </x:row>
    <x:row r="73">
      <x:c r="A73" s="5" t="inlineStr">
        <x:is>
          <x:t xml:space="preserve">EMP48684</x:t>
        </x:is>
      </x:c>
      <x:c r="B73" s="6" t="n"/>
      <x:c r="C73" s="6" t="inlineStr">
        <x:is>
          <x:t xml:space="preserve">HR Shared Services</x:t>
        </x:is>
      </x:c>
      <x:c r="D73" s="5" t="inlineStr">
        <x:is>
          <x:t xml:space="preserve">Kolkata</x:t>
        </x:is>
      </x:c>
      <x:c r="E73" s="36" t="n">
        <x:v>44280</x:v>
      </x:c>
      <x:c r="F73" s="37" t="n">
        <x:v>36785</x:v>
      </x:c>
      <x:c r="G73" s="37" t="n">
        <x:v>16553</x:v>
      </x:c>
      <x:c r="H73" s="37" t="n">
        <x:v>9000</x:v>
      </x:c>
      <x:c r="I73" s="37" t="n">
        <x:v>7928</x:v>
      </x:c>
      <x:c r="J73" s="37" t="n">
        <x:v>54410</x:v>
      </x:c>
      <x:c r="K73" s="5" t="inlineStr">
        <x:is>
          <x:t xml:space="preserve">Pending Verification</x:t>
        </x:is>
      </x:c>
      <x:c r="L73" s="5" t="inlineStr">
        <x:is>
          <x:t xml:space="preserve">Pending</x:t>
        </x:is>
      </x:c>
      <x:c r="M73" s="9" t="n">
        <x:v>19</x:v>
      </x:c>
      <x:c r="N73" s="9" t="n">
        <x:v>6</x:v>
      </x:c>
      <x:c r="O73" s="5" t="inlineStr">
        <x:is>
          <x:t xml:space="preserve">Processed</x:t>
        </x:is>
      </x:c>
    </x:row>
    <x:row r="74">
      <x:c r="A74" s="5" t="inlineStr">
        <x:is>
          <x:t xml:space="preserve">EMP80329</x:t>
        </x:is>
      </x:c>
      <x:c r="B74" s="6" t="inlineStr">
        <x:is>
          <x:t xml:space="preserve">Deepika Mehta</x:t>
        </x:is>
      </x:c>
      <x:c r="C74" s="6" t="inlineStr">
        <x:is>
          <x:t xml:space="preserve">IT Support</x:t>
        </x:is>
      </x:c>
      <x:c r="D74" s="5" t="inlineStr">
        <x:is>
          <x:t xml:space="preserve">Chennai</x:t>
        </x:is>
      </x:c>
      <x:c r="E74" s="36" t="n">
        <x:v>45608</x:v>
      </x:c>
      <x:c r="F74" s="37" t="n">
        <x:v>29100</x:v>
      </x:c>
      <x:c r="G74" s="37" t="n">
        <x:v>13095</x:v>
      </x:c>
      <x:c r="H74" s="37" t="n">
        <x:v>4500</x:v>
      </x:c>
      <x:c r="I74" s="37" t="n">
        <x:v>4862</x:v>
      </x:c>
      <x:c r="J74" s="37" t="n">
        <x:v>41833</x:v>
      </x:c>
      <x:c r="K74" s="5" t="n"/>
      <x:c r="L74" s="5" t="inlineStr">
        <x:is>
          <x:t xml:space="preserve">Pending</x:t>
        </x:is>
      </x:c>
      <x:c r="M74" s="9" t="n">
        <x:v>27</x:v>
      </x:c>
      <x:c r="N74" s="9" t="n">
        <x:v>1</x:v>
      </x:c>
      <x:c r="O74" s="5" t="inlineStr">
        <x:is>
          <x:t xml:space="preserve">Processed</x:t>
        </x:is>
      </x:c>
    </x:row>
    <x:row r="75">
      <x:c r="A75" s="5" t="inlineStr">
        <x:is>
          <x:t xml:space="preserve">EMP93283</x:t>
        </x:is>
      </x:c>
      <x:c r="B75" s="6" t="inlineStr">
        <x:is>
          <x:t xml:space="preserve">Vikram White</x:t>
        </x:is>
      </x:c>
      <x:c r="C75" s="6" t="inlineStr">
        <x:is>
          <x:t xml:space="preserve">Talent Ops</x:t>
        </x:is>
      </x:c>
      <x:c r="D75" s="5" t="inlineStr">
        <x:is>
          <x:t xml:space="preserve">Noida</x:t>
        </x:is>
      </x:c>
      <x:c r="E75" s="36" t="n">
        <x:v>44257</x:v>
      </x:c>
      <x:c r="F75" s="37" t="n">
        <x:v>24438</x:v>
      </x:c>
      <x:c r="G75" s="37" t="n">
        <x:v>9775</x:v>
      </x:c>
      <x:c r="H75" s="37" t="n">
        <x:v>12000</x:v>
      </x:c>
      <x:c r="I75" s="37" t="n">
        <x:v>1951</x:v>
      </x:c>
      <x:c r="J75" s="37" t="n">
        <x:v>44262</x:v>
      </x:c>
      <x:c r="K75" s="5" t="inlineStr">
        <x:is>
          <x:t xml:space="preserve">Verified</x:t>
        </x:is>
      </x:c>
      <x:c r="L75" s="5" t="inlineStr">
        <x:is>
          <x:t xml:space="preserve">Verified</x:t>
        </x:is>
      </x:c>
      <x:c r="M75" s="9" t="n">
        <x:v>26</x:v>
      </x:c>
      <x:c r="N75" s="9" t="n">
        <x:v>1</x:v>
      </x:c>
      <x:c r="O75" s="5" t="inlineStr">
        <x:is>
          <x:t xml:space="preserve">Processed</x:t>
        </x:is>
      </x:c>
    </x:row>
    <x:row r="76">
      <x:c r="A76" s="5" t="inlineStr">
        <x:is>
          <x:t xml:space="preserve">EMP58629</x:t>
        </x:is>
      </x:c>
      <x:c r="B76" s="6" t="inlineStr">
        <x:is>
          <x:t xml:space="preserve">Rohan Patel</x:t>
        </x:is>
      </x:c>
      <x:c r="C76" s="6" t="inlineStr">
        <x:is>
          <x:t xml:space="preserve">Finance Ops</x:t>
        </x:is>
      </x:c>
      <x:c r="D76" s="5" t="inlineStr">
        <x:is>
          <x:t xml:space="preserve">Noida</x:t>
        </x:is>
      </x:c>
      <x:c r="E76" s="36" t="n">
        <x:v>44428</x:v>
      </x:c>
      <x:c r="F76" s="37" t="n">
        <x:v>48746</x:v>
      </x:c>
      <x:c r="G76" s="37" t="n">
        <x:v>19498</x:v>
      </x:c>
      <x:c r="H76" s="37" t="n">
        <x:v>1500</x:v>
      </x:c>
      <x:c r="I76" s="37" t="n">
        <x:v>6654</x:v>
      </x:c>
      <x:c r="J76" s="37" t="n">
        <x:v>63090</x:v>
      </x:c>
      <x:c r="K76" s="5" t="inlineStr">
        <x:is>
          <x:t xml:space="preserve">Active</x:t>
        </x:is>
      </x:c>
      <x:c r="L76" s="5" t="inlineStr">
        <x:is>
          <x:t xml:space="preserve">Verified</x:t>
        </x:is>
      </x:c>
      <x:c r="M76" s="9" t="n">
        <x:v>25</x:v>
      </x:c>
      <x:c r="N76" s="9" t="n">
        <x:v>3</x:v>
      </x:c>
      <x:c r="O76" s="5" t="inlineStr">
        <x:is>
          <x:t xml:space="preserve">Hold</x:t>
        </x:is>
      </x:c>
    </x:row>
    <x:row r="77">
      <x:c r="A77" s="5" t="inlineStr">
        <x:is>
          <x:t xml:space="preserve">EMP57537</x:t>
        </x:is>
      </x:c>
      <x:c r="B77" s="6" t="inlineStr">
        <x:is>
          <x:t xml:space="preserve">David Reddy</x:t>
        </x:is>
      </x:c>
      <x:c r="C77" s="6" t="inlineStr">
        <x:is>
          <x:t xml:space="preserve">IT Support</x:t>
        </x:is>
      </x:c>
      <x:c r="D77" s="5" t="inlineStr">
        <x:is>
          <x:t xml:space="preserve">Gurgaon</x:t>
        </x:is>
      </x:c>
      <x:c r="E77" s="36" t="n">
        <x:v>44386</x:v>
      </x:c>
      <x:c r="F77" s="37" t="n">
        <x:v>34439</x:v>
      </x:c>
      <x:c r="G77" s="37" t="n">
        <x:v>12054</x:v>
      </x:c>
      <x:c r="H77" s="37" t="n">
        <x:v>12000</x:v>
      </x:c>
      <x:c r="I77" s="37" t="n">
        <x:v>1750</x:v>
      </x:c>
      <x:c r="J77" s="37" t="n">
        <x:v>56743</x:v>
      </x:c>
      <x:c r="K77" s="5" t="inlineStr">
        <x:is>
          <x:t xml:space="preserve">Pending Verification</x:t>
        </x:is>
      </x:c>
      <x:c r="L77" s="5" t="inlineStr">
        <x:is>
          <x:t xml:space="preserve">Verified</x:t>
        </x:is>
      </x:c>
      <x:c r="M77" s="9" t="n">
        <x:v>28</x:v>
      </x:c>
      <x:c r="N77" s="9" t="n">
        <x:v>0</x:v>
      </x:c>
      <x:c r="O77" s="5" t="inlineStr">
        <x:is>
          <x:t xml:space="preserve">Processed</x:t>
        </x:is>
      </x:c>
    </x:row>
    <x:row r="78">
      <x:c r="A78" s="5" t="inlineStr">
        <x:is>
          <x:t xml:space="preserve">EMP53713</x:t>
        </x:is>
      </x:c>
      <x:c r="B78" s="6" t="inlineStr">
        <x:is>
          <x:t xml:space="preserve">Kavya Desai</x:t>
        </x:is>
      </x:c>
      <x:c r="C78" s="6" t="inlineStr">
        <x:is>
          <x:t xml:space="preserve">Consulting Ops</x:t>
        </x:is>
      </x:c>
      <x:c r="D78" s="5" t="inlineStr">
        <x:is>
          <x:t xml:space="preserve">Pune</x:t>
        </x:is>
      </x:c>
      <x:c r="E78" s="36" t="n">
        <x:v>44446</x:v>
      </x:c>
      <x:c r="F78" s="37" t="n">
        <x:v>60429</x:v>
      </x:c>
      <x:c r="G78" s="37" t="n">
        <x:v>21150</x:v>
      </x:c>
      <x:c r="H78" s="37" t="n">
        <x:v>4500</x:v>
      </x:c>
      <x:c r="I78" s="37" t="n">
        <x:v>3691</x:v>
      </x:c>
      <x:c r="J78" s="37" t="n">
        <x:v>82388</x:v>
      </x:c>
      <x:c r="K78" s="5" t="inlineStr">
        <x:is>
          <x:t xml:space="preserve">Verified</x:t>
        </x:is>
      </x:c>
      <x:c r="L78" s="5" t="inlineStr">
        <x:is>
          <x:t xml:space="preserve">Verified</x:t>
        </x:is>
      </x:c>
      <x:c r="M78" s="9" t="n">
        <x:v>22</x:v>
      </x:c>
      <x:c r="N78" s="9" t="n">
        <x:v>2</x:v>
      </x:c>
      <x:c r="O78" s="5" t="inlineStr">
        <x:is>
          <x:t xml:space="preserve">Hold</x:t>
        </x:is>
      </x:c>
    </x:row>
    <x:row r="79">
      <x:c r="A79" s="5" t="inlineStr">
        <x:is>
          <x:t xml:space="preserve">EMP80807</x:t>
        </x:is>
      </x:c>
      <x:c r="B79" s="6" t="inlineStr">
        <x:is>
          <x:t xml:space="preserve">Kiran Taylor</x:t>
        </x:is>
      </x:c>
      <x:c r="C79" s="6" t="inlineStr">
        <x:is>
          <x:t xml:space="preserve">Finance Ops</x:t>
        </x:is>
      </x:c>
      <x:c r="D79" s="5" t="inlineStr">
        <x:is>
          <x:t xml:space="preserve">Bengaluru</x:t>
        </x:is>
      </x:c>
      <x:c r="E79" s="36" t="n">
        <x:v>44256</x:v>
      </x:c>
      <x:c r="F79" s="37" t="n">
        <x:v>45477</x:v>
      </x:c>
      <x:c r="G79" s="37" t="n">
        <x:v>15917</x:v>
      </x:c>
      <x:c r="H79" s="37" t="n">
        <x:v>7500</x:v>
      </x:c>
      <x:c r="I79" s="37" t="n">
        <x:v>1129</x:v>
      </x:c>
      <x:c r="J79" s="37" t="n">
        <x:v>67765</x:v>
      </x:c>
      <x:c r="K79" s="5" t="inlineStr">
        <x:is>
          <x:t xml:space="preserve">Verified</x:t>
        </x:is>
      </x:c>
      <x:c r="L79" s="5" t="inlineStr">
        <x:is>
          <x:t xml:space="preserve">Pending</x:t>
        </x:is>
      </x:c>
      <x:c r="M79" s="9" t="n">
        <x:v>18</x:v>
      </x:c>
      <x:c r="N79" s="9" t="n">
        <x:v>2</x:v>
      </x:c>
      <x:c r="O79" s="5" t="inlineStr">
        <x:is>
          <x:t xml:space="preserve">Processed</x:t>
        </x:is>
      </x:c>
    </x:row>
    <x:row r="80">
      <x:c r="A80" s="5" t="inlineStr">
        <x:is>
          <x:t xml:space="preserve">EMP78955</x:t>
        </x:is>
      </x:c>
      <x:c r="B80" s="6" t="inlineStr">
        <x:is>
          <x:t xml:space="preserve">Deepika Sharma</x:t>
        </x:is>
      </x:c>
      <x:c r="C80" s="6" t="inlineStr">
        <x:is>
          <x:t xml:space="preserve">HR Shared Services</x:t>
        </x:is>
      </x:c>
      <x:c r="D80" s="5" t="inlineStr">
        <x:is>
          <x:t xml:space="preserve">Kolkata</x:t>
        </x:is>
      </x:c>
      <x:c r="E80" s="36" t="n">
        <x:v>45460</x:v>
      </x:c>
      <x:c r="F80" s="37" t="n">
        <x:v>60906</x:v>
      </x:c>
      <x:c r="G80" s="37" t="n">
        <x:v>21317</x:v>
      </x:c>
      <x:c r="H80" s="37" t="n">
        <x:v>12000</x:v>
      </x:c>
      <x:c r="I80" s="37" t="n">
        <x:v>5127</x:v>
      </x:c>
      <x:c r="J80" s="37" t="n">
        <x:v>89096</x:v>
      </x:c>
      <x:c r="K80" s="5" t="inlineStr">
        <x:is>
          <x:t xml:space="preserve">Verified</x:t>
        </x:is>
      </x:c>
      <x:c r="L80" s="5" t="inlineStr">
        <x:is>
          <x:t xml:space="preserve">Verified</x:t>
        </x:is>
      </x:c>
      <x:c r="M80" s="9" t="n">
        <x:v>29</x:v>
      </x:c>
      <x:c r="N80" s="9" t="n">
        <x:v>2</x:v>
      </x:c>
      <x:c r="O80" s="5" t="inlineStr">
        <x:is>
          <x:t xml:space="preserve">Processed</x:t>
        </x:is>
      </x:c>
    </x:row>
    <x:row r="81">
      <x:c r="A81" s="5" t="inlineStr">
        <x:is>
          <x:t xml:space="preserve">EMP70036</x:t>
        </x:is>
      </x:c>
      <x:c r="B81" s="6" t="inlineStr">
        <x:is>
          <x:t xml:space="preserve">Aisha Bose</x:t>
        </x:is>
      </x:c>
      <x:c r="C81" s="6" t="inlineStr">
        <x:is>
          <x:t xml:space="preserve">Audit Support</x:t>
        </x:is>
      </x:c>
      <x:c r="D81" s="5" t="inlineStr">
        <x:is>
          <x:t xml:space="preserve">Noida</x:t>
        </x:is>
      </x:c>
      <x:c r="E81" s="36" t="n">
        <x:v>45600</x:v>
      </x:c>
      <x:c r="F81" s="37" t="n">
        <x:v>54130</x:v>
      </x:c>
      <x:c r="G81" s="37" t="n">
        <x:v>24358</x:v>
      </x:c>
      <x:c r="H81" s="37" t="n">
        <x:v>12000</x:v>
      </x:c>
      <x:c r="I81" s="37" t="n">
        <x:v>1602</x:v>
      </x:c>
      <x:c r="J81" s="37" t="n">
        <x:v>88886</x:v>
      </x:c>
      <x:c r="K81" s="5" t="inlineStr">
        <x:is>
          <x:t xml:space="preserve">Verified</x:t>
        </x:is>
      </x:c>
      <x:c r="L81" s="5" t="inlineStr">
        <x:is>
          <x:t xml:space="preserve">Pending</x:t>
        </x:is>
      </x:c>
      <x:c r="M81" s="9" t="n">
        <x:v>27</x:v>
      </x:c>
      <x:c r="N81" s="9" t="n">
        <x:v>1</x:v>
      </x:c>
      <x:c r="O81" s="5" t="inlineStr">
        <x:is>
          <x:t xml:space="preserve">Processed</x:t>
        </x:is>
      </x:c>
    </x:row>
    <x:row r="82">
      <x:c r="A82" s="5" t="inlineStr">
        <x:is>
          <x:t xml:space="preserve">EMP46046</x:t>
        </x:is>
      </x:c>
      <x:c r="B82" s="6" t="inlineStr">
        <x:is>
          <x:t xml:space="preserve">Mohammed Lee</x:t>
        </x:is>
      </x:c>
      <x:c r="C82" s="6" t="inlineStr">
        <x:is>
          <x:t xml:space="preserve">Consulting Ops</x:t>
        </x:is>
      </x:c>
      <x:c r="D82" s="5" t="inlineStr">
        <x:is>
          <x:t xml:space="preserve">Chennai</x:t>
        </x:is>
      </x:c>
      <x:c r="E82" s="36" t="n">
        <x:v>45555</x:v>
      </x:c>
      <x:c r="F82" s="37" t="n">
        <x:v>50193</x:v>
      </x:c>
      <x:c r="G82" s="37" t="n">
        <x:v>17568</x:v>
      </x:c>
      <x:c r="H82" s="37" t="n">
        <x:v>2500</x:v>
      </x:c>
      <x:c r="I82" s="37" t="n">
        <x:v>7986</x:v>
      </x:c>
      <x:c r="J82" s="37" t="n">
        <x:v>62275</x:v>
      </x:c>
      <x:c r="K82" s="5" t="inlineStr">
        <x:is>
          <x:t xml:space="preserve">Pending Verification</x:t>
        </x:is>
      </x:c>
      <x:c r="L82" s="5" t="inlineStr">
        <x:is>
          <x:t xml:space="preserve">Verified</x:t>
        </x:is>
      </x:c>
      <x:c r="M82" s="9" t="n">
        <x:v>24</x:v>
      </x:c>
      <x:c r="N82" s="9" t="n">
        <x:v>7</x:v>
      </x:c>
      <x:c r="O82" s="5" t="inlineStr">
        <x:is>
          <x:t xml:space="preserve">Pending</x:t>
        </x:is>
      </x:c>
    </x:row>
    <x:row r="83">
      <x:c r="A83" s="5" t="inlineStr">
        <x:is>
          <x:t xml:space="preserve">EMP64239</x:t>
        </x:is>
      </x:c>
      <x:c r="B83" s="6" t="inlineStr">
        <x:is>
          <x:t xml:space="preserve">Noah Thomas</x:t>
        </x:is>
      </x:c>
      <x:c r="C83" s="6" t="inlineStr">
        <x:is>
          <x:t xml:space="preserve">Audit Support</x:t>
        </x:is>
      </x:c>
      <x:c r="D83" s="5" t="inlineStr">
        <x:is>
          <x:t xml:space="preserve">Noida</x:t>
        </x:is>
      </x:c>
      <x:c r="E83" s="36" t="n">
        <x:v>45630</x:v>
      </x:c>
      <x:c r="F83" s="37" t="n">
        <x:v>42483</x:v>
      </x:c>
      <x:c r="G83" s="37" t="n">
        <x:v>16993</x:v>
      </x:c>
      <x:c r="H83" s="37" t="n">
        <x:v>7500</x:v>
      </x:c>
      <x:c r="I83" s="37" t="n">
        <x:v>6448</x:v>
      </x:c>
      <x:c r="J83" s="37" t="n">
        <x:v>60528</x:v>
      </x:c>
      <x:c r="K83" s="5" t="inlineStr">
        <x:is>
          <x:t xml:space="preserve">Active</x:t>
        </x:is>
      </x:c>
      <x:c r="L83" s="5" t="inlineStr">
        <x:is>
          <x:t xml:space="preserve">Pending</x:t>
        </x:is>
      </x:c>
      <x:c r="M83" s="9" t="n">
        <x:v>20</x:v>
      </x:c>
      <x:c r="N83" s="9" t="n">
        <x:v>7</x:v>
      </x:c>
      <x:c r="O83" s="5" t="inlineStr">
        <x:is>
          <x:t xml:space="preserve">Processed</x:t>
        </x:is>
      </x:c>
    </x:row>
    <x:row r="84">
      <x:c r="A84" s="5" t="inlineStr">
        <x:is>
          <x:t xml:space="preserve">EMP21188</x:t>
        </x:is>
      </x:c>
      <x:c r="B84" s="6" t="inlineStr">
        <x:is>
          <x:t xml:space="preserve">Arjun Martin</x:t>
        </x:is>
      </x:c>
      <x:c r="C84" s="6" t="inlineStr">
        <x:is>
          <x:t xml:space="preserve">HR Shared Services</x:t>
        </x:is>
      </x:c>
      <x:c r="D84" s="5" t="inlineStr">
        <x:is>
          <x:t xml:space="preserve">Gurgaon</x:t>
        </x:is>
      </x:c>
      <x:c r="E84" s="36" t="n">
        <x:v>44806</x:v>
      </x:c>
      <x:c r="F84" s="37" t="n">
        <x:v>60434</x:v>
      </x:c>
      <x:c r="G84" s="37" t="n">
        <x:v>27195</x:v>
      </x:c>
      <x:c r="H84" s="37" t="n">
        <x:v>7500</x:v>
      </x:c>
      <x:c r="I84" s="37" t="n">
        <x:v>6488</x:v>
      </x:c>
      <x:c r="J84" s="37" t="n">
        <x:v>88641</x:v>
      </x:c>
      <x:c r="K84" s="5" t="inlineStr">
        <x:is>
          <x:t xml:space="preserve">Verified</x:t>
        </x:is>
      </x:c>
      <x:c r="L84" s="5" t="inlineStr">
        <x:is>
          <x:t xml:space="preserve">Pending</x:t>
        </x:is>
      </x:c>
      <x:c r="M84" s="9" t="n">
        <x:v>23</x:v>
      </x:c>
      <x:c r="N84" s="9" t="n">
        <x:v>6</x:v>
      </x:c>
      <x:c r="O84" s="5" t="inlineStr">
        <x:is>
          <x:t xml:space="preserve">Pending</x:t>
        </x:is>
      </x:c>
    </x:row>
    <x:row r="85">
      <x:c r="A85" s="5" t="inlineStr">
        <x:is>
          <x:t xml:space="preserve">EMP16743</x:t>
        </x:is>
      </x:c>
      <x:c r="B85" s="6" t="inlineStr">
        <x:is>
          <x:t xml:space="preserve">Lucas Pillai</x:t>
        </x:is>
      </x:c>
      <x:c r="C85" s="6" t="inlineStr">
        <x:is>
          <x:t xml:space="preserve">Talent Ops</x:t>
        </x:is>
      </x:c>
      <x:c r="D85" s="5" t="inlineStr">
        <x:is>
          <x:t xml:space="preserve">Gurgaon</x:t>
        </x:is>
      </x:c>
      <x:c r="E85" s="36" t="n">
        <x:v>44486</x:v>
      </x:c>
      <x:c r="F85" s="37" t="n">
        <x:v>35942</x:v>
      </x:c>
      <x:c r="G85" s="37" t="n">
        <x:v>12580</x:v>
      </x:c>
      <x:c r="H85" s="37" t="n">
        <x:v>12000</x:v>
      </x:c>
      <x:c r="I85" s="37" t="n">
        <x:v>2837</x:v>
      </x:c>
      <x:c r="J85" s="37" t="n">
        <x:v>57685</x:v>
      </x:c>
      <x:c r="K85" s="5" t="inlineStr">
        <x:is>
          <x:t xml:space="preserve">Verified</x:t>
        </x:is>
      </x:c>
      <x:c r="L85" s="5" t="inlineStr">
        <x:is>
          <x:t xml:space="preserve">Pending</x:t>
        </x:is>
      </x:c>
      <x:c r="M85" s="9" t="n">
        <x:v>31</x:v>
      </x:c>
      <x:c r="N85" s="9" t="n">
        <x:v>0</x:v>
      </x:c>
      <x:c r="O85" s="5" t="inlineStr">
        <x:is>
          <x:t xml:space="preserve">Processed</x:t>
        </x:is>
      </x:c>
    </x:row>
    <x:row r="86">
      <x:c r="A86" s="5" t="inlineStr">
        <x:is>
          <x:t xml:space="preserve">EMP46512</x:t>
        </x:is>
      </x:c>
      <x:c r="B86" s="6" t="inlineStr">
        <x:is>
          <x:t xml:space="preserve">James Taylor</x:t>
        </x:is>
      </x:c>
      <x:c r="C86" s="6" t="inlineStr">
        <x:is>
          <x:t xml:space="preserve">Risk Advisory</x:t>
        </x:is>
      </x:c>
      <x:c r="D86" s="5" t="inlineStr">
        <x:is>
          <x:t xml:space="preserve">Hyderabad</x:t>
        </x:is>
      </x:c>
      <x:c r="E86" s="36" t="n">
        <x:v>44932</x:v>
      </x:c>
      <x:c r="F86" s="37" t="n">
        <x:v>39909</x:v>
      </x:c>
      <x:c r="G86" s="37" t="n">
        <x:v>17959</x:v>
      </x:c>
      <x:c r="H86" s="37" t="n">
        <x:v>6000</x:v>
      </x:c>
      <x:c r="I86" s="37" t="n">
        <x:v>3783</x:v>
      </x:c>
      <x:c r="J86" s="37" t="n">
        <x:v>60085</x:v>
      </x:c>
      <x:c r="K86" s="5" t="inlineStr">
        <x:is>
          <x:t xml:space="preserve">Active</x:t>
        </x:is>
      </x:c>
      <x:c r="L86" s="5" t="inlineStr">
        <x:is>
          <x:t xml:space="preserve">Verified</x:t>
        </x:is>
      </x:c>
      <x:c r="M86" s="9" t="n">
        <x:v>20</x:v>
      </x:c>
      <x:c r="N86" s="9" t="n">
        <x:v>2</x:v>
      </x:c>
      <x:c r="O86" s="5" t="inlineStr">
        <x:is>
          <x:t xml:space="preserve">Processed</x:t>
        </x:is>
      </x:c>
    </x:row>
    <x:row r="87">
      <x:c r="A87" s="5" t="inlineStr">
        <x:is>
          <x:t xml:space="preserve">EMP62531</x:t>
        </x:is>
      </x:c>
      <x:c r="B87" s="6" t="inlineStr">
        <x:is>
          <x:t xml:space="preserve">Ananya Desai</x:t>
        </x:is>
      </x:c>
      <x:c r="C87" s="6" t="inlineStr">
        <x:is>
          <x:t xml:space="preserve">Payroll Ops</x:t>
        </x:is>
      </x:c>
      <x:c r="D87" s="5" t="inlineStr">
        <x:is>
          <x:t xml:space="preserve">Bengaluru</x:t>
        </x:is>
      </x:c>
      <x:c r="E87" s="36" t="n">
        <x:v>44756</x:v>
      </x:c>
      <x:c r="F87" s="37" t="n">
        <x:v>51730</x:v>
      </x:c>
      <x:c r="G87" s="37" t="n">
        <x:v>20692</x:v>
      </x:c>
      <x:c r="H87" s="37" t="n">
        <x:v>3000</x:v>
      </x:c>
      <x:c r="I87" s="37" t="n">
        <x:v>4031</x:v>
      </x:c>
      <x:c r="J87" s="37" t="n">
        <x:v>71391</x:v>
      </x:c>
      <x:c r="K87" s="5" t="inlineStr">
        <x:is>
          <x:t xml:space="preserve">Active</x:t>
        </x:is>
      </x:c>
      <x:c r="L87" s="5" t="inlineStr">
        <x:is>
          <x:t xml:space="preserve">Pending</x:t>
        </x:is>
      </x:c>
      <x:c r="M87" s="9" t="n">
        <x:v>30</x:v>
      </x:c>
      <x:c r="N87" s="9" t="n">
        <x:v>0</x:v>
      </x:c>
      <x:c r="O87" s="5" t="inlineStr">
        <x:is>
          <x:t xml:space="preserve">Pending</x:t>
        </x:is>
      </x:c>
    </x:row>
    <x:row r="88">
      <x:c r="A88" s="5" t="inlineStr">
        <x:is>
          <x:t xml:space="preserve">EMP30392</x:t>
        </x:is>
      </x:c>
      <x:c r="B88" s="6" t="inlineStr">
        <x:is>
          <x:t xml:space="preserve">Ethan Singh</x:t>
        </x:is>
      </x:c>
      <x:c r="C88" s="6" t="inlineStr">
        <x:is>
          <x:t xml:space="preserve">Consulting Ops</x:t>
        </x:is>
      </x:c>
      <x:c r="D88" s="5" t="inlineStr">
        <x:is>
          <x:t xml:space="preserve">Hyderabad</x:t>
        </x:is>
      </x:c>
      <x:c r="E88" s="36" t="n">
        <x:v>44331</x:v>
      </x:c>
      <x:c r="F88" s="37" t="n">
        <x:v>65380</x:v>
      </x:c>
      <x:c r="G88" s="37" t="n">
        <x:v>26152</x:v>
      </x:c>
      <x:c r="H88" s="37" t="n">
        <x:v>12000</x:v>
      </x:c>
      <x:c r="I88" s="37" t="n">
        <x:v>5973</x:v>
      </x:c>
      <x:c r="J88" s="37" t="n">
        <x:v>97559</x:v>
      </x:c>
      <x:c r="K88" s="5" t="inlineStr">
        <x:is>
          <x:t xml:space="preserve">Active</x:t>
        </x:is>
      </x:c>
      <x:c r="L88" s="5" t="inlineStr">
        <x:is>
          <x:t xml:space="preserve">Pending</x:t>
        </x:is>
      </x:c>
      <x:c r="M88" s="9" t="n">
        <x:v>22</x:v>
      </x:c>
      <x:c r="N88" s="9" t="n">
        <x:v>3</x:v>
      </x:c>
      <x:c r="O88" s="5" t="inlineStr">
        <x:is>
          <x:t xml:space="preserve">Pending</x:t>
        </x:is>
      </x:c>
    </x:row>
    <x:row r="89">
      <x:c r="A89" s="5" t="inlineStr">
        <x:is>
          <x:t xml:space="preserve">EMP24918</x:t>
        </x:is>
      </x:c>
      <x:c r="B89" s="6" t="inlineStr">
        <x:is>
          <x:t xml:space="preserve">Oliver Martin</x:t>
        </x:is>
      </x:c>
      <x:c r="C89" s="6" t="inlineStr">
        <x:is>
          <x:t xml:space="preserve">HR Shared Services</x:t>
        </x:is>
      </x:c>
      <x:c r="D89" s="5" t="inlineStr">
        <x:is>
          <x:t xml:space="preserve">Chennai</x:t>
        </x:is>
      </x:c>
      <x:c r="E89" s="36" t="n">
        <x:v>45557</x:v>
      </x:c>
      <x:c r="F89" s="37" t="n">
        <x:v>42212</x:v>
      </x:c>
      <x:c r="G89" s="37" t="n">
        <x:v>14774</x:v>
      </x:c>
      <x:c r="H89" s="37" t="n">
        <x:v>4500</x:v>
      </x:c>
      <x:c r="I89" s="37" t="n">
        <x:v>4237</x:v>
      </x:c>
      <x:c r="J89" s="37" t="n">
        <x:v>57249</x:v>
      </x:c>
      <x:c r="K89" s="5" t="inlineStr">
        <x:is>
          <x:t xml:space="preserve">Pending Verification</x:t>
        </x:is>
      </x:c>
      <x:c r="L89" s="5" t="inlineStr">
        <x:is>
          <x:t xml:space="preserve">Verified</x:t>
        </x:is>
      </x:c>
      <x:c r="M89" s="9" t="n">
        <x:v>18</x:v>
      </x:c>
      <x:c r="N89" s="9" t="n">
        <x:v>3</x:v>
      </x:c>
      <x:c r="O89" s="5" t="inlineStr">
        <x:is>
          <x:t xml:space="preserve">Processed</x:t>
        </x:is>
      </x:c>
    </x:row>
    <x:row r="90">
      <x:c r="A90" s="5" t="inlineStr">
        <x:is>
          <x:t xml:space="preserve">EMP37686</x:t>
        </x:is>
      </x:c>
      <x:c r="B90" s="6" t="inlineStr">
        <x:is>
          <x:t xml:space="preserve">Divya Singh</x:t>
        </x:is>
      </x:c>
      <x:c r="C90" s="6" t="inlineStr">
        <x:is>
          <x:t xml:space="preserve">Talent Ops</x:t>
        </x:is>
      </x:c>
      <x:c r="D90" s="5" t="inlineStr">
        <x:is>
          <x:t xml:space="preserve">Chennai</x:t>
        </x:is>
      </x:c>
      <x:c r="E90" s="36" t="n">
        <x:v>44958</x:v>
      </x:c>
      <x:c r="F90" s="37" t="n">
        <x:v>54596</x:v>
      </x:c>
      <x:c r="G90" s="37" t="n">
        <x:v>24568</x:v>
      </x:c>
      <x:c r="H90" s="37" t="n">
        <x:v>9000</x:v>
      </x:c>
      <x:c r="I90" s="37" t="n">
        <x:v>2439</x:v>
      </x:c>
      <x:c r="J90" s="37" t="n">
        <x:v>85725</x:v>
      </x:c>
      <x:c r="K90" s="5" t="inlineStr">
        <x:is>
          <x:t xml:space="preserve">Verified</x:t>
        </x:is>
      </x:c>
      <x:c r="L90" s="5" t="inlineStr">
        <x:is>
          <x:t xml:space="preserve">Pending</x:t>
        </x:is>
      </x:c>
      <x:c r="M90" s="9" t="n">
        <x:v>26</x:v>
      </x:c>
      <x:c r="N90" s="9" t="n">
        <x:v>5</x:v>
      </x:c>
      <x:c r="O90" s="5" t="inlineStr">
        <x:is>
          <x:t xml:space="preserve">Processed</x:t>
        </x:is>
      </x:c>
    </x:row>
    <x:row r="91">
      <x:c r="A91" s="5" t="inlineStr">
        <x:is>
          <x:t xml:space="preserve">EMP83233</x:t>
        </x:is>
      </x:c>
      <x:c r="B91" s="6" t="inlineStr">
        <x:is>
          <x:t xml:space="preserve">Oliver Brown</x:t>
        </x:is>
      </x:c>
      <x:c r="C91" s="6" t="inlineStr">
        <x:is>
          <x:t xml:space="preserve">Risk Advisory</x:t>
        </x:is>
      </x:c>
      <x:c r="D91" s="5" t="inlineStr">
        <x:is>
          <x:t xml:space="preserve">Hyderabad</x:t>
        </x:is>
      </x:c>
      <x:c r="E91" s="36" t="n">
        <x:v>45306</x:v>
      </x:c>
      <x:c r="F91" s="37" t="n">
        <x:v>27102</x:v>
      </x:c>
      <x:c r="G91" s="37" t="n">
        <x:v>10841</x:v>
      </x:c>
      <x:c r="H91" s="37" t="n">
        <x:v>9000</x:v>
      </x:c>
      <x:c r="I91" s="37" t="n">
        <x:v>5697</x:v>
      </x:c>
      <x:c r="J91" s="37" t="n">
        <x:v>38046</x:v>
      </x:c>
      <x:c r="K91" s="5" t="inlineStr">
        <x:is>
          <x:t xml:space="preserve">Active</x:t>
        </x:is>
      </x:c>
      <x:c r="L91" s="5" t="inlineStr">
        <x:is>
          <x:t xml:space="preserve">Pending</x:t>
        </x:is>
      </x:c>
      <x:c r="M91" s="9" t="n">
        <x:v>22</x:v>
      </x:c>
      <x:c r="N91" s="9" t="n">
        <x:v>1</x:v>
      </x:c>
      <x:c r="O91" s="5" t="inlineStr">
        <x:is>
          <x:t xml:space="preserve">Processed</x:t>
        </x:is>
      </x:c>
    </x:row>
    <x:row r="92">
      <x:c r="A92" s="5" t="inlineStr">
        <x:is>
          <x:t xml:space="preserve">EMP52568</x:t>
        </x:is>
      </x:c>
      <x:c r="B92" s="6" t="inlineStr">
        <x:is>
          <x:t xml:space="preserve">Ethan Taylor</x:t>
        </x:is>
      </x:c>
      <x:c r="C92" s="6" t="inlineStr">
        <x:is>
          <x:t xml:space="preserve">Consulting Ops</x:t>
        </x:is>
      </x:c>
      <x:c r="D92" s="5" t="inlineStr">
        <x:is>
          <x:t xml:space="preserve">Kolkata</x:t>
        </x:is>
      </x:c>
      <x:c r="E92" s="36" t="n">
        <x:v>44971</x:v>
      </x:c>
      <x:c r="F92" s="37" t="n">
        <x:v>77344</x:v>
      </x:c>
      <x:c r="G92" s="37" t="n">
        <x:v>27070</x:v>
      </x:c>
      <x:c r="H92" s="37" t="n">
        <x:v>4500</x:v>
      </x:c>
      <x:c r="I92" s="37" t="n">
        <x:v>4569</x:v>
      </x:c>
      <x:c r="J92" s="37" t="n">
        <x:v>104345</x:v>
      </x:c>
      <x:c r="K92" s="5" t="inlineStr">
        <x:is>
          <x:t xml:space="preserve">Pending Verification</x:t>
        </x:is>
      </x:c>
      <x:c r="L92" s="5" t="inlineStr">
        <x:is>
          <x:t xml:space="preserve">Pending</x:t>
        </x:is>
      </x:c>
      <x:c r="M92" s="9" t="n">
        <x:v>26</x:v>
      </x:c>
      <x:c r="N92" s="9" t="n">
        <x:v>0</x:v>
      </x:c>
      <x:c r="O92" s="5" t="inlineStr">
        <x:is>
          <x:t xml:space="preserve">Processed</x:t>
        </x:is>
      </x:c>
    </x:row>
    <x:row r="93">
      <x:c r="A93" s="5" t="inlineStr">
        <x:is>
          <x:t xml:space="preserve">EMP50668</x:t>
        </x:is>
      </x:c>
      <x:c r="B93" s="6" t="inlineStr">
        <x:is>
          <x:t xml:space="preserve">Noah Iyer</x:t>
        </x:is>
      </x:c>
      <x:c r="C93" s="6" t="inlineStr">
        <x:is>
          <x:t xml:space="preserve">IT Support</x:t>
        </x:is>
      </x:c>
      <x:c r="D93" s="5" t="inlineStr">
        <x:is>
          <x:t xml:space="preserve">Mumbai</x:t>
        </x:is>
      </x:c>
      <x:c r="E93" s="36" t="n">
        <x:v>44460</x:v>
      </x:c>
      <x:c r="F93" s="37" t="n">
        <x:v>29472</x:v>
      </x:c>
      <x:c r="G93" s="37" t="n">
        <x:v>13262</x:v>
      </x:c>
      <x:c r="H93" s="37" t="n">
        <x:v>4500</x:v>
      </x:c>
      <x:c r="I93" s="37" t="n">
        <x:v>7358</x:v>
      </x:c>
      <x:c r="J93" s="37" t="n">
        <x:v>39876</x:v>
      </x:c>
      <x:c r="K93" s="5" t="inlineStr">
        <x:is>
          <x:t xml:space="preserve">Active</x:t>
        </x:is>
      </x:c>
      <x:c r="L93" s="5" t="inlineStr">
        <x:is>
          <x:t xml:space="preserve">Pending</x:t>
        </x:is>
      </x:c>
      <x:c r="M93" s="9" t="n">
        <x:v>29</x:v>
      </x:c>
      <x:c r="N93" s="9" t="n">
        <x:v>2</x:v>
      </x:c>
      <x:c r="O93" s="5" t="inlineStr">
        <x:is>
          <x:t xml:space="preserve">Pending</x:t>
        </x:is>
      </x:c>
    </x:row>
    <x:row r="94">
      <x:c r="A94" s="5" t="inlineStr">
        <x:is>
          <x:t xml:space="preserve">EMP40968</x:t>
        </x:is>
      </x:c>
      <x:c r="B94" s="6" t="inlineStr">
        <x:is>
          <x:t xml:space="preserve">David Desai</x:t>
        </x:is>
      </x:c>
      <x:c r="C94" s="6" t="inlineStr">
        <x:is>
          <x:t xml:space="preserve">Talent Ops</x:t>
        </x:is>
      </x:c>
      <x:c r="D94" s="5" t="inlineStr">
        <x:is>
          <x:t xml:space="preserve">Pune</x:t>
        </x:is>
      </x:c>
      <x:c r="E94" s="36" t="n">
        <x:v>44839</x:v>
      </x:c>
      <x:c r="F94" s="37" t="n">
        <x:v>71821</x:v>
      </x:c>
      <x:c r="G94" s="37" t="n">
        <x:v>32319</x:v>
      </x:c>
      <x:c r="H94" s="37" t="n">
        <x:v>2500</x:v>
      </x:c>
      <x:c r="I94" s="37" t="n">
        <x:v>2451</x:v>
      </x:c>
      <x:c r="J94" s="37" t="n">
        <x:v>104189</x:v>
      </x:c>
      <x:c r="K94" s="5" t="inlineStr">
        <x:is>
          <x:t xml:space="preserve">Pending Verification</x:t>
        </x:is>
      </x:c>
      <x:c r="L94" s="5" t="inlineStr">
        <x:is>
          <x:t xml:space="preserve">Pending</x:t>
        </x:is>
      </x:c>
      <x:c r="M94" s="9" t="n">
        <x:v>25</x:v>
      </x:c>
      <x:c r="N94" s="9" t="n">
        <x:v>6</x:v>
      </x:c>
      <x:c r="O94" s="5" t="inlineStr">
        <x:is>
          <x:t xml:space="preserve">Processed</x:t>
        </x:is>
      </x:c>
    </x:row>
    <x:row r="95">
      <x:c r="A95" s="5" t="inlineStr">
        <x:is>
          <x:t xml:space="preserve">EMP85952</x:t>
        </x:is>
      </x:c>
      <x:c r="B95" s="6" t="inlineStr">
        <x:is>
          <x:t xml:space="preserve">Sophie Reddy</x:t>
        </x:is>
      </x:c>
      <x:c r="C95" s="6" t="inlineStr">
        <x:is>
          <x:t xml:space="preserve">Consulting Ops</x:t>
        </x:is>
      </x:c>
      <x:c r="D95" s="5" t="inlineStr">
        <x:is>
          <x:t xml:space="preserve">Gurgaon</x:t>
        </x:is>
      </x:c>
      <x:c r="E95" s="36" t="n">
        <x:v>45000</x:v>
      </x:c>
      <x:c r="F95" s="37" t="n">
        <x:v>26475</x:v>
      </x:c>
      <x:c r="G95" s="37" t="n">
        <x:v>10590</x:v>
      </x:c>
      <x:c r="H95" s="37" t="n">
        <x:v>12000</x:v>
      </x:c>
      <x:c r="I95" s="37" t="n">
        <x:v>6172</x:v>
      </x:c>
      <x:c r="J95" s="37" t="n">
        <x:v>42893</x:v>
      </x:c>
      <x:c r="K95" s="5" t="inlineStr">
        <x:is>
          <x:t xml:space="preserve">Active</x:t>
        </x:is>
      </x:c>
      <x:c r="L95" s="5" t="inlineStr">
        <x:is>
          <x:t xml:space="preserve">Pending</x:t>
        </x:is>
      </x:c>
      <x:c r="M95" s="9" t="n">
        <x:v>27</x:v>
      </x:c>
      <x:c r="N95" s="9" t="n">
        <x:v>0</x:v>
      </x:c>
      <x:c r="O95" s="5" t="inlineStr">
        <x:is>
          <x:t xml:space="preserve">Processed</x:t>
        </x:is>
      </x:c>
    </x:row>
    <x:row r="96">
      <x:c r="A96" s="5" t="inlineStr">
        <x:is>
          <x:t xml:space="preserve">EMP19724</x:t>
        </x:is>
      </x:c>
      <x:c r="B96" s="6" t="inlineStr">
        <x:is>
          <x:t xml:space="preserve">Meera Mehta</x:t>
        </x:is>
      </x:c>
      <x:c r="C96" s="6" t="inlineStr">
        <x:is>
          <x:t xml:space="preserve">Audit Support</x:t>
        </x:is>
      </x:c>
      <x:c r="D96" s="5" t="inlineStr">
        <x:is>
          <x:t xml:space="preserve">Hyderabad</x:t>
        </x:is>
      </x:c>
      <x:c r="E96" s="36" t="n">
        <x:v>44374</x:v>
      </x:c>
      <x:c r="F96" s="37" t="n">
        <x:v>40813</x:v>
      </x:c>
      <x:c r="G96" s="37" t="n">
        <x:v>14285</x:v>
      </x:c>
      <x:c r="H96" s="37" t="n">
        <x:v>2500</x:v>
      </x:c>
      <x:c r="I96" s="37" t="n">
        <x:v>6038</x:v>
      </x:c>
      <x:c r="J96" s="37" t="n">
        <x:v>51560</x:v>
      </x:c>
      <x:c r="K96" s="5" t="inlineStr">
        <x:is>
          <x:t xml:space="preserve">Pending Verification</x:t>
        </x:is>
      </x:c>
      <x:c r="L96" s="5" t="inlineStr">
        <x:is>
          <x:t xml:space="preserve">Pending</x:t>
        </x:is>
      </x:c>
      <x:c r="M96" s="9" t="n">
        <x:v>25</x:v>
      </x:c>
      <x:c r="N96" s="9" t="n">
        <x:v>4</x:v>
      </x:c>
      <x:c r="O96" s="5" t="inlineStr">
        <x:is>
          <x:t xml:space="preserve">Processed</x:t>
        </x:is>
      </x:c>
    </x:row>
    <x:row r="97">
      <x:c r="A97" s="5" t="inlineStr">
        <x:is>
          <x:t xml:space="preserve">EMP15376</x:t>
        </x:is>
      </x:c>
      <x:c r="B97" s="6" t="inlineStr">
        <x:is>
          <x:t xml:space="preserve">Sophie White</x:t>
        </x:is>
      </x:c>
      <x:c r="C97" s="6" t="inlineStr">
        <x:is>
          <x:t xml:space="preserve">Consulting Ops</x:t>
        </x:is>
      </x:c>
      <x:c r="D97" s="5" t="inlineStr">
        <x:is>
          <x:t xml:space="preserve">Pune</x:t>
        </x:is>
      </x:c>
      <x:c r="E97" s="36" t="n">
        <x:v>45215</x:v>
      </x:c>
      <x:c r="F97" s="37" t="n">
        <x:v>54857</x:v>
      </x:c>
      <x:c r="G97" s="37" t="n">
        <x:v>19200</x:v>
      </x:c>
      <x:c r="H97" s="37" t="n">
        <x:v>1500</x:v>
      </x:c>
      <x:c r="I97" s="37" t="n">
        <x:v>4690</x:v>
      </x:c>
      <x:c r="J97" s="37" t="n">
        <x:v>70867</x:v>
      </x:c>
      <x:c r="K97" s="5" t="inlineStr">
        <x:is>
          <x:t xml:space="preserve">Verified</x:t>
        </x:is>
      </x:c>
      <x:c r="L97" s="5" t="inlineStr">
        <x:is>
          <x:t xml:space="preserve">Pending</x:t>
        </x:is>
      </x:c>
      <x:c r="M97" s="9" t="n">
        <x:v>29</x:v>
      </x:c>
      <x:c r="N97" s="9" t="n">
        <x:v>0</x:v>
      </x:c>
      <x:c r="O97" s="5" t="inlineStr">
        <x:is>
          <x:t xml:space="preserve">Processed</x:t>
        </x:is>
      </x:c>
    </x:row>
    <x:row r="98">
      <x:c r="A98" s="5" t="inlineStr">
        <x:is>
          <x:t xml:space="preserve">EMP32617</x:t>
        </x:is>
      </x:c>
      <x:c r="B98" s="6" t="inlineStr">
        <x:is>
          <x:t xml:space="preserve">Akash Iyer</x:t>
        </x:is>
      </x:c>
      <x:c r="C98" s="6" t="inlineStr">
        <x:is>
          <x:t xml:space="preserve">Audit Support</x:t>
        </x:is>
      </x:c>
      <x:c r="D98" s="5" t="inlineStr">
        <x:is>
          <x:t xml:space="preserve">Kolkata</x:t>
        </x:is>
      </x:c>
      <x:c r="E98" s="36" t="n">
        <x:v>44724</x:v>
      </x:c>
      <x:c r="F98" s="37" t="n">
        <x:v>40539</x:v>
      </x:c>
      <x:c r="G98" s="37" t="n">
        <x:v>16216</x:v>
      </x:c>
      <x:c r="H98" s="37" t="n">
        <x:v>9000</x:v>
      </x:c>
      <x:c r="I98" s="37" t="n">
        <x:v>7344</x:v>
      </x:c>
      <x:c r="J98" s="37" t="n">
        <x:v>58411</x:v>
      </x:c>
      <x:c r="K98" s="5" t="inlineStr">
        <x:is>
          <x:t xml:space="preserve">Active</x:t>
        </x:is>
      </x:c>
      <x:c r="L98" s="5" t="inlineStr">
        <x:is>
          <x:t xml:space="preserve">Verified</x:t>
        </x:is>
      </x:c>
      <x:c r="M98" s="9" t="n">
        <x:v>30</x:v>
      </x:c>
      <x:c r="N98" s="9" t="n">
        <x:v>1</x:v>
      </x:c>
      <x:c r="O98" s="5" t="inlineStr">
        <x:is>
          <x:t xml:space="preserve">Processed</x:t>
        </x:is>
      </x:c>
    </x:row>
    <x:row r="99">
      <x:c r="A99" s="5" t="inlineStr">
        <x:is>
          <x:t xml:space="preserve">EMP22387</x:t>
        </x:is>
      </x:c>
      <x:c r="B99" s="6" t="inlineStr">
        <x:is>
          <x:t xml:space="preserve">Priya Johnson</x:t>
        </x:is>
      </x:c>
      <x:c r="C99" s="6" t="inlineStr">
        <x:is>
          <x:t xml:space="preserve">Talent Ops</x:t>
        </x:is>
      </x:c>
      <x:c r="D99" s="5" t="inlineStr">
        <x:is>
          <x:t xml:space="preserve">Mumbai</x:t>
        </x:is>
      </x:c>
      <x:c r="E99" s="36" t="n">
        <x:v>44976</x:v>
      </x:c>
      <x:c r="F99" s="37" t="n">
        <x:v>65490</x:v>
      </x:c>
      <x:c r="G99" s="37" t="n">
        <x:v>22922</x:v>
      </x:c>
      <x:c r="H99" s="37" t="n">
        <x:v>7500</x:v>
      </x:c>
      <x:c r="I99" s="37" t="n">
        <x:v>3541</x:v>
      </x:c>
      <x:c r="J99" s="37" t="n">
        <x:v>92371</x:v>
      </x:c>
      <x:c r="K99" s="5" t="inlineStr">
        <x:is>
          <x:t xml:space="preserve">Pending Verification</x:t>
        </x:is>
      </x:c>
      <x:c r="L99" s="5" t="inlineStr">
        <x:is>
          <x:t xml:space="preserve">Pending</x:t>
        </x:is>
      </x:c>
      <x:c r="M99" s="9" t="n">
        <x:v>20</x:v>
      </x:c>
      <x:c r="N99" s="9" t="n">
        <x:v>1</x:v>
      </x:c>
      <x:c r="O99" s="5" t="inlineStr">
        <x:is>
          <x:t xml:space="preserve">Processed</x:t>
        </x:is>
      </x:c>
    </x:row>
    <x:row r="100">
      <x:c r="A100" s="5" t="inlineStr">
        <x:is>
          <x:t xml:space="preserve">EMP59372</x:t>
        </x:is>
      </x:c>
      <x:c r="B100" s="6" t="inlineStr">
        <x:is>
          <x:t xml:space="preserve">Noah Thomas</x:t>
        </x:is>
      </x:c>
      <x:c r="C100" s="6" t="inlineStr">
        <x:is>
          <x:t xml:space="preserve">Finance Ops</x:t>
        </x:is>
      </x:c>
      <x:c r="D100" s="5" t="inlineStr">
        <x:is>
          <x:t xml:space="preserve">Bengaluru</x:t>
        </x:is>
      </x:c>
      <x:c r="E100" s="36" t="n">
        <x:v>45547</x:v>
      </x:c>
      <x:c r="F100" s="37" t="n">
        <x:v>23194</x:v>
      </x:c>
      <x:c r="G100" s="37" t="n">
        <x:v>9278</x:v>
      </x:c>
      <x:c r="H100" s="37" t="n">
        <x:v>6000</x:v>
      </x:c>
      <x:c r="I100" s="37" t="n">
        <x:v>2476</x:v>
      </x:c>
      <x:c r="J100" s="37" t="n">
        <x:v>35996</x:v>
      </x:c>
      <x:c r="K100" s="5" t="inlineStr">
        <x:is>
          <x:t xml:space="preserve">Verified</x:t>
        </x:is>
      </x:c>
      <x:c r="L100" s="5" t="inlineStr">
        <x:is>
          <x:t xml:space="preserve">Pending</x:t>
        </x:is>
      </x:c>
      <x:c r="M100" s="9" t="n">
        <x:v>30</x:v>
      </x:c>
      <x:c r="N100" s="9" t="n">
        <x:v>1</x:v>
      </x:c>
      <x:c r="O100" s="5" t="inlineStr">
        <x:is>
          <x:t xml:space="preserve">Processed</x:t>
        </x:is>
      </x:c>
    </x:row>
    <x:row r="101">
      <x:c r="A101" s="5" t="inlineStr">
        <x:is>
          <x:t xml:space="preserve">EMP28030</x:t>
        </x:is>
      </x:c>
      <x:c r="B101" s="6" t="inlineStr">
        <x:is>
          <x:t xml:space="preserve">Emma Brown</x:t>
        </x:is>
      </x:c>
      <x:c r="C101" s="6" t="inlineStr">
        <x:is>
          <x:t xml:space="preserve">Talent Ops</x:t>
        </x:is>
      </x:c>
      <x:c r="D101" s="5" t="inlineStr">
        <x:is>
          <x:t xml:space="preserve">Bengaluru</x:t>
        </x:is>
      </x:c>
      <x:c r="E101" s="36" t="n">
        <x:v>44511</x:v>
      </x:c>
      <x:c r="F101" s="37" t="n">
        <x:v>72220</x:v>
      </x:c>
      <x:c r="G101" s="37" t="n">
        <x:v>32499</x:v>
      </x:c>
      <x:c r="H101" s="37" t="n">
        <x:v>3000</x:v>
      </x:c>
      <x:c r="I101" s="37" t="n">
        <x:v>5892</x:v>
      </x:c>
      <x:c r="J101" s="37" t="n">
        <x:v>101827</x:v>
      </x:c>
      <x:c r="K101" s="5" t="inlineStr">
        <x:is>
          <x:t xml:space="preserve">Active</x:t>
        </x:is>
      </x:c>
      <x:c r="L101" s="5" t="inlineStr">
        <x:is>
          <x:t xml:space="preserve">Verified</x:t>
        </x:is>
      </x:c>
      <x:c r="M101" s="9" t="n">
        <x:v>20</x:v>
      </x:c>
      <x:c r="N101" s="9" t="n">
        <x:v>2</x:v>
      </x:c>
      <x:c r="O101" s="5" t="inlineStr">
        <x:is>
          <x:t xml:space="preserve">Pending</x:t>
        </x:is>
      </x:c>
    </x:row>
    <x:row r="102">
      <x:c r="A102" s="5" t="inlineStr">
        <x:is>
          <x:t xml:space="preserve">EMP91885</x:t>
        </x:is>
      </x:c>
      <x:c r="B102" s="6" t="inlineStr">
        <x:is>
          <x:t xml:space="preserve">Ethan Sharma</x:t>
        </x:is>
      </x:c>
      <x:c r="C102" s="6" t="inlineStr">
        <x:is>
          <x:t xml:space="preserve">Audit Support</x:t>
        </x:is>
      </x:c>
      <x:c r="D102" s="5" t="inlineStr">
        <x:is>
          <x:t xml:space="preserve">Hyderabad</x:t>
        </x:is>
      </x:c>
      <x:c r="E102" s="36" t="n">
        <x:v>45465</x:v>
      </x:c>
      <x:c r="F102" s="37" t="n">
        <x:v>69158</x:v>
      </x:c>
      <x:c r="G102" s="37" t="n">
        <x:v>24205</x:v>
      </x:c>
      <x:c r="H102" s="37" t="n">
        <x:v>12000</x:v>
      </x:c>
      <x:c r="I102" s="37" t="n">
        <x:v>6001</x:v>
      </x:c>
      <x:c r="J102" s="37" t="n">
        <x:v>99362</x:v>
      </x:c>
      <x:c r="K102" s="5" t="inlineStr">
        <x:is>
          <x:t xml:space="preserve">Active</x:t>
        </x:is>
      </x:c>
      <x:c r="L102" s="5" t="inlineStr">
        <x:is>
          <x:t xml:space="preserve">Pending</x:t>
        </x:is>
      </x:c>
      <x:c r="M102" s="9" t="n">
        <x:v>21</x:v>
      </x:c>
      <x:c r="N102" s="9" t="n">
        <x:v>8</x:v>
      </x:c>
      <x:c r="O102" s="5" t="inlineStr">
        <x:is>
          <x:t xml:space="preserve">Processed</x:t>
        </x:is>
      </x:c>
    </x:row>
    <x:row r="103">
      <x:c r="A103" s="5" t="inlineStr">
        <x:is>
          <x:t xml:space="preserve">EMP71474</x:t>
        </x:is>
      </x:c>
      <x:c r="B103" s="6" t="inlineStr">
        <x:is>
          <x:t xml:space="preserve">Henry Kumar</x:t>
        </x:is>
      </x:c>
      <x:c r="C103" s="6" t="inlineStr">
        <x:is>
          <x:t xml:space="preserve">Consulting Ops</x:t>
        </x:is>
      </x:c>
      <x:c r="D103" s="5" t="inlineStr">
        <x:is>
          <x:t xml:space="preserve">Kolkata</x:t>
        </x:is>
      </x:c>
      <x:c r="E103" s="36" t="n">
        <x:v>45437</x:v>
      </x:c>
      <x:c r="F103" s="37" t="n">
        <x:v>47026</x:v>
      </x:c>
      <x:c r="G103" s="37" t="n">
        <x:v>21162</x:v>
      </x:c>
      <x:c r="H103" s="37" t="n">
        <x:v>9000</x:v>
      </x:c>
      <x:c r="I103" s="37" t="n">
        <x:v>2327</x:v>
      </x:c>
      <x:c r="J103" s="37" t="n">
        <x:v>74861</x:v>
      </x:c>
      <x:c r="K103" s="5" t="inlineStr">
        <x:is>
          <x:t xml:space="preserve">Verified</x:t>
        </x:is>
      </x:c>
      <x:c r="L103" s="5" t="inlineStr">
        <x:is>
          <x:t xml:space="preserve">Verified</x:t>
        </x:is>
      </x:c>
      <x:c r="M103" s="9" t="n">
        <x:v>31</x:v>
      </x:c>
      <x:c r="N103" s="9" t="n">
        <x:v>0</x:v>
      </x:c>
      <x:c r="O103" s="5" t="inlineStr">
        <x:is>
          <x:t xml:space="preserve">Processed</x:t>
        </x:is>
      </x:c>
    </x:row>
    <x:row r="104">
      <x:c r="A104" s="5" t="inlineStr">
        <x:is>
          <x:t xml:space="preserve">EMP72991</x:t>
        </x:is>
      </x:c>
      <x:c r="B104" s="6" t="inlineStr">
        <x:is>
          <x:t xml:space="preserve">Pooja Nair</x:t>
        </x:is>
      </x:c>
      <x:c r="C104" s="6" t="inlineStr">
        <x:is>
          <x:t xml:space="preserve">HR Shared Services</x:t>
        </x:is>
      </x:c>
      <x:c r="D104" s="5" t="inlineStr">
        <x:is>
          <x:t xml:space="preserve">Bengaluru</x:t>
        </x:is>
      </x:c>
      <x:c r="E104" s="36" t="n">
        <x:v>44982</x:v>
      </x:c>
      <x:c r="F104" s="37" t="n">
        <x:v>32506</x:v>
      </x:c>
      <x:c r="G104" s="37" t="n">
        <x:v>13002</x:v>
      </x:c>
      <x:c r="H104" s="37" t="n">
        <x:v>12000</x:v>
      </x:c>
      <x:c r="I104" s="37" t="n">
        <x:v>5205</x:v>
      </x:c>
      <x:c r="J104" s="37" t="n">
        <x:v>52303</x:v>
      </x:c>
      <x:c r="K104" s="5" t="inlineStr">
        <x:is>
          <x:t xml:space="preserve">Verified</x:t>
        </x:is>
      </x:c>
      <x:c r="L104" s="5" t="inlineStr">
        <x:is>
          <x:t xml:space="preserve">Pending</x:t>
        </x:is>
      </x:c>
      <x:c r="M104" s="9" t="n">
        <x:v>19</x:v>
      </x:c>
      <x:c r="N104" s="9" t="n">
        <x:v>3</x:v>
      </x:c>
      <x:c r="O104" s="5" t="inlineStr">
        <x:is>
          <x:t xml:space="preserve">Pending</x:t>
        </x:is>
      </x:c>
    </x:row>
    <x:row r="105">
      <x:c r="A105" s="5" t="inlineStr">
        <x:is>
          <x:t xml:space="preserve">EMP55820</x:t>
        </x:is>
      </x:c>
      <x:c r="B105" s="6" t="inlineStr">
        <x:is>
          <x:t xml:space="preserve">Aisha Martin</x:t>
        </x:is>
      </x:c>
      <x:c r="C105" s="6" t="inlineStr">
        <x:is>
          <x:t xml:space="preserve">Payroll Ops</x:t>
        </x:is>
      </x:c>
      <x:c r="D105" s="5" t="inlineStr">
        <x:is>
          <x:t xml:space="preserve">Noida</x:t>
        </x:is>
      </x:c>
      <x:c r="E105" s="36" t="n">
        <x:v>45029</x:v>
      </x:c>
      <x:c r="F105" s="37" t="n">
        <x:v>27348</x:v>
      </x:c>
      <x:c r="G105" s="37" t="n">
        <x:v>10939</x:v>
      </x:c>
      <x:c r="H105" s="37" t="n">
        <x:v>4500</x:v>
      </x:c>
      <x:c r="I105" s="37" t="n">
        <x:v>1230</x:v>
      </x:c>
      <x:c r="J105" s="37" t="n">
        <x:v>41557</x:v>
      </x:c>
      <x:c r="K105" s="5" t="inlineStr">
        <x:is>
          <x:t xml:space="preserve">Active</x:t>
        </x:is>
      </x:c>
      <x:c r="L105" s="5" t="inlineStr">
        <x:is>
          <x:t xml:space="preserve">Verified</x:t>
        </x:is>
      </x:c>
      <x:c r="M105" s="9" t="n">
        <x:v>31</x:v>
      </x:c>
      <x:c r="N105" s="9" t="n">
        <x:v>0</x:v>
      </x:c>
      <x:c r="O105" s="5" t="inlineStr">
        <x:is>
          <x:t xml:space="preserve">Pending</x:t>
        </x:is>
      </x:c>
    </x:row>
    <x:row r="106">
      <x:c r="A106" s="5" t="inlineStr">
        <x:is>
          <x:t xml:space="preserve">EMP28035</x:t>
        </x:is>
      </x:c>
      <x:c r="B106" s="6" t="n"/>
      <x:c r="C106" s="6" t="inlineStr">
        <x:is>
          <x:t xml:space="preserve">Audit Support</x:t>
        </x:is>
      </x:c>
      <x:c r="D106" s="5" t="inlineStr">
        <x:is>
          <x:t xml:space="preserve">Mumbai</x:t>
        </x:is>
      </x:c>
      <x:c r="E106" s="36" t="n">
        <x:v>45524</x:v>
      </x:c>
      <x:c r="F106" s="37" t="n">
        <x:v>22344</x:v>
      </x:c>
      <x:c r="G106" s="37" t="n">
        <x:v>7820</x:v>
      </x:c>
      <x:c r="H106" s="37" t="n">
        <x:v>1500</x:v>
      </x:c>
      <x:c r="I106" s="37" t="n">
        <x:v>3096</x:v>
      </x:c>
      <x:c r="J106" s="37" t="n">
        <x:v>28568</x:v>
      </x:c>
      <x:c r="K106" s="5" t="inlineStr">
        <x:is>
          <x:t xml:space="preserve">Verified</x:t>
        </x:is>
      </x:c>
      <x:c r="L106" s="5" t="inlineStr">
        <x:is>
          <x:t xml:space="preserve">Verified</x:t>
        </x:is>
      </x:c>
      <x:c r="M106" s="9" t="n">
        <x:v>26</x:v>
      </x:c>
      <x:c r="N106" s="9" t="n">
        <x:v>5</x:v>
      </x:c>
      <x:c r="O106" s="5" t="inlineStr">
        <x:is>
          <x:t xml:space="preserve">Processed</x:t>
        </x:is>
      </x:c>
    </x:row>
    <x:row r="107">
      <x:c r="A107" s="5" t="inlineStr">
        <x:is>
          <x:t xml:space="preserve">EMP65476</x:t>
        </x:is>
      </x:c>
      <x:c r="B107" s="6" t="inlineStr">
        <x:is>
          <x:t xml:space="preserve">Deepika Singh</x:t>
        </x:is>
      </x:c>
      <x:c r="C107" s="6" t="inlineStr">
        <x:is>
          <x:t xml:space="preserve">Talent Ops</x:t>
        </x:is>
      </x:c>
      <x:c r="D107" s="5" t="inlineStr">
        <x:is>
          <x:t xml:space="preserve">Pune</x:t>
        </x:is>
      </x:c>
      <x:c r="E107" s="36" t="n">
        <x:v>44959</x:v>
      </x:c>
      <x:c r="F107" s="37" t="n">
        <x:v>37626</x:v>
      </x:c>
      <x:c r="G107" s="37" t="n">
        <x:v>15050</x:v>
      </x:c>
      <x:c r="H107" s="37" t="n">
        <x:v>12000</x:v>
      </x:c>
      <x:c r="I107" s="37" t="n">
        <x:v>1514</x:v>
      </x:c>
      <x:c r="J107" s="37" t="n">
        <x:v>63162</x:v>
      </x:c>
      <x:c r="K107" s="5" t="inlineStr">
        <x:is>
          <x:t xml:space="preserve">Verified</x:t>
        </x:is>
      </x:c>
      <x:c r="L107" s="5" t="inlineStr">
        <x:is>
          <x:t xml:space="preserve">Pending</x:t>
        </x:is>
      </x:c>
      <x:c r="M107" s="9" t="n">
        <x:v>27</x:v>
      </x:c>
      <x:c r="N107" s="9" t="n">
        <x:v>4</x:v>
      </x:c>
      <x:c r="O107" s="5" t="inlineStr">
        <x:is>
          <x:t xml:space="preserve">Processed</x:t>
        </x:is>
      </x:c>
    </x:row>
    <x:row r="108">
      <x:c r="A108" s="5" t="inlineStr">
        <x:is>
          <x:t xml:space="preserve">EMP19880</x:t>
        </x:is>
      </x:c>
      <x:c r="B108" s="6" t="inlineStr">
        <x:is>
          <x:t xml:space="preserve">Kavya Shah</x:t>
        </x:is>
      </x:c>
      <x:c r="C108" s="6" t="inlineStr">
        <x:is>
          <x:t xml:space="preserve">Finance Ops</x:t>
        </x:is>
      </x:c>
      <x:c r="D108" s="5" t="inlineStr">
        <x:is>
          <x:t xml:space="preserve">Chennai</x:t>
        </x:is>
      </x:c>
      <x:c r="E108" s="36" t="n">
        <x:v>45311</x:v>
      </x:c>
      <x:c r="F108" s="37" t="n">
        <x:v>45122</x:v>
      </x:c>
      <x:c r="G108" s="37" t="n">
        <x:v>15793</x:v>
      </x:c>
      <x:c r="H108" s="37" t="n">
        <x:v>9000</x:v>
      </x:c>
      <x:c r="I108" s="37" t="n">
        <x:v>2534</x:v>
      </x:c>
      <x:c r="J108" s="37" t="n">
        <x:v>67381</x:v>
      </x:c>
      <x:c r="K108" s="5" t="inlineStr">
        <x:is>
          <x:t xml:space="preserve">Pending Verification</x:t>
        </x:is>
      </x:c>
      <x:c r="L108" s="5" t="inlineStr">
        <x:is>
          <x:t xml:space="preserve">Verified</x:t>
        </x:is>
      </x:c>
      <x:c r="M108" s="9" t="n">
        <x:v>26</x:v>
      </x:c>
      <x:c r="N108" s="9" t="n">
        <x:v>2</x:v>
      </x:c>
      <x:c r="O108" s="5" t="inlineStr">
        <x:is>
          <x:t xml:space="preserve">Processed</x:t>
        </x:is>
      </x:c>
    </x:row>
    <x:row r="109">
      <x:c r="A109" s="5" t="inlineStr">
        <x:is>
          <x:t xml:space="preserve">EMP78951</x:t>
        </x:is>
      </x:c>
      <x:c r="B109" s="6" t="inlineStr">
        <x:is>
          <x:t xml:space="preserve">Aisha Lee</x:t>
        </x:is>
      </x:c>
      <x:c r="C109" s="6" t="inlineStr">
        <x:is>
          <x:t xml:space="preserve">Audit Support</x:t>
        </x:is>
      </x:c>
      <x:c r="D109" s="5" t="inlineStr">
        <x:is>
          <x:t xml:space="preserve">Hyderabad</x:t>
        </x:is>
      </x:c>
      <x:c r="E109" s="36" t="n">
        <x:v>45452</x:v>
      </x:c>
      <x:c r="F109" s="37" t="n">
        <x:v>70976</x:v>
      </x:c>
      <x:c r="G109" s="37" t="n">
        <x:v>24842</x:v>
      </x:c>
      <x:c r="H109" s="37" t="n">
        <x:v>7500</x:v>
      </x:c>
      <x:c r="I109" s="37" t="n">
        <x:v>7459</x:v>
      </x:c>
      <x:c r="J109" s="37" t="n">
        <x:v>95859</x:v>
      </x:c>
      <x:c r="K109" s="5" t="inlineStr">
        <x:is>
          <x:t xml:space="preserve">Verified</x:t>
        </x:is>
      </x:c>
      <x:c r="L109" s="5" t="inlineStr">
        <x:is>
          <x:t xml:space="preserve">Pending</x:t>
        </x:is>
      </x:c>
      <x:c r="M109" s="9" t="n">
        <x:v>21</x:v>
      </x:c>
      <x:c r="N109" s="9" t="n">
        <x:v>1</x:v>
      </x:c>
      <x:c r="O109" s="5" t="inlineStr">
        <x:is>
          <x:t xml:space="preserve">Pending</x:t>
        </x:is>
      </x:c>
    </x:row>
    <x:row r="110">
      <x:c r="A110" s="5" t="inlineStr">
        <x:is>
          <x:t xml:space="preserve">EMP53583</x:t>
        </x:is>
      </x:c>
      <x:c r="B110" s="6" t="inlineStr">
        <x:is>
          <x:t xml:space="preserve">Divya Bose</x:t>
        </x:is>
      </x:c>
      <x:c r="C110" s="6" t="inlineStr">
        <x:is>
          <x:t xml:space="preserve">IT Support</x:t>
        </x:is>
      </x:c>
      <x:c r="D110" s="5" t="inlineStr">
        <x:is>
          <x:t xml:space="preserve">Gurgaon</x:t>
        </x:is>
      </x:c>
      <x:c r="E110" s="36" t="n">
        <x:v>44880</x:v>
      </x:c>
      <x:c r="F110" s="37" t="n">
        <x:v>67573</x:v>
      </x:c>
      <x:c r="G110" s="37" t="n">
        <x:v>27029</x:v>
      </x:c>
      <x:c r="H110" s="37" t="n">
        <x:v>3000</x:v>
      </x:c>
      <x:c r="I110" s="37" t="n">
        <x:v>7647</x:v>
      </x:c>
      <x:c r="J110" s="37" t="n">
        <x:v>89955</x:v>
      </x:c>
      <x:c r="K110" s="5" t="inlineStr">
        <x:is>
          <x:t xml:space="preserve">Verified</x:t>
        </x:is>
      </x:c>
      <x:c r="L110" s="5" t="inlineStr">
        <x:is>
          <x:t xml:space="preserve">Verified</x:t>
        </x:is>
      </x:c>
      <x:c r="M110" s="9" t="n">
        <x:v>29</x:v>
      </x:c>
      <x:c r="N110" s="9" t="n">
        <x:v>1</x:v>
      </x:c>
      <x:c r="O110" s="5" t="inlineStr">
        <x:is>
          <x:t xml:space="preserve">Processed</x:t>
        </x:is>
      </x:c>
    </x:row>
    <x:row r="111">
      <x:c r="A111" s="5" t="inlineStr">
        <x:is>
          <x:t xml:space="preserve">EMP36422</x:t>
        </x:is>
      </x:c>
      <x:c r="B111" s="6" t="inlineStr">
        <x:is>
          <x:t xml:space="preserve">Akash Taylor</x:t>
        </x:is>
      </x:c>
      <x:c r="C111" s="6" t="inlineStr">
        <x:is>
          <x:t xml:space="preserve">Benefits Team</x:t>
        </x:is>
      </x:c>
      <x:c r="D111" s="5" t="inlineStr">
        <x:is>
          <x:t xml:space="preserve">Hyderabad</x:t>
        </x:is>
      </x:c>
      <x:c r="E111" s="36" t="n">
        <x:v>45063</x:v>
      </x:c>
      <x:c r="F111" s="37" t="n">
        <x:v>48098</x:v>
      </x:c>
      <x:c r="G111" s="37" t="n">
        <x:v>21644</x:v>
      </x:c>
      <x:c r="H111" s="37" t="n">
        <x:v>12000</x:v>
      </x:c>
      <x:c r="I111" s="37" t="n">
        <x:v>3075</x:v>
      </x:c>
      <x:c r="J111" s="37" t="n">
        <x:v>78667</x:v>
      </x:c>
      <x:c r="K111" s="5" t="inlineStr">
        <x:is>
          <x:t xml:space="preserve">Verified</x:t>
        </x:is>
      </x:c>
      <x:c r="L111" s="5" t="inlineStr">
        <x:is>
          <x:t xml:space="preserve">Verified</x:t>
        </x:is>
      </x:c>
      <x:c r="M111" s="9" t="n">
        <x:v>22</x:v>
      </x:c>
      <x:c r="N111" s="9" t="n">
        <x:v>5</x:v>
      </x:c>
      <x:c r="O111" s="5" t="inlineStr">
        <x:is>
          <x:t xml:space="preserve">Pending</x:t>
        </x:is>
      </x:c>
    </x:row>
    <x:row r="112">
      <x:c r="A112" s="5" t="inlineStr">
        <x:is>
          <x:t xml:space="preserve">EMP16265</x:t>
        </x:is>
      </x:c>
      <x:c r="B112" s="6" t="inlineStr">
        <x:is>
          <x:t xml:space="preserve">Noah Jackson</x:t>
        </x:is>
      </x:c>
      <x:c r="C112" s="6" t="inlineStr">
        <x:is>
          <x:t xml:space="preserve">HR Shared Services</x:t>
        </x:is>
      </x:c>
      <x:c r="D112" s="5" t="inlineStr">
        <x:is>
          <x:t xml:space="preserve">Gurgaon</x:t>
        </x:is>
      </x:c>
      <x:c r="E112" s="36" t="n">
        <x:v>45497</x:v>
      </x:c>
      <x:c r="F112" s="37" t="n">
        <x:v>50818</x:v>
      </x:c>
      <x:c r="G112" s="37" t="n">
        <x:v>20327</x:v>
      </x:c>
      <x:c r="H112" s="37" t="n">
        <x:v>7500</x:v>
      </x:c>
      <x:c r="I112" s="37" t="n">
        <x:v>2530</x:v>
      </x:c>
      <x:c r="J112" s="37" t="n">
        <x:v>76115</x:v>
      </x:c>
      <x:c r="K112" s="5" t="inlineStr">
        <x:is>
          <x:t xml:space="preserve">Active</x:t>
        </x:is>
      </x:c>
      <x:c r="L112" s="5" t="inlineStr">
        <x:is>
          <x:t xml:space="preserve">Pending</x:t>
        </x:is>
      </x:c>
      <x:c r="M112" s="9" t="n">
        <x:v>23</x:v>
      </x:c>
      <x:c r="N112" s="9" t="n">
        <x:v>8</x:v>
      </x:c>
      <x:c r="O112" s="5" t="inlineStr">
        <x:is>
          <x:t xml:space="preserve">Processed</x:t>
        </x:is>
      </x:c>
    </x:row>
    <x:row r="113">
      <x:c r="A113" s="5" t="inlineStr">
        <x:is>
          <x:t xml:space="preserve">EMP20828</x:t>
        </x:is>
      </x:c>
      <x:c r="B113" s="6" t="inlineStr">
        <x:is>
          <x:t xml:space="preserve">Sneha Brown</x:t>
        </x:is>
      </x:c>
      <x:c r="C113" s="6" t="inlineStr">
        <x:is>
          <x:t xml:space="preserve">Risk Advisory</x:t>
        </x:is>
      </x:c>
      <x:c r="D113" s="5" t="inlineStr">
        <x:is>
          <x:t xml:space="preserve">Mumbai</x:t>
        </x:is>
      </x:c>
      <x:c r="E113" s="36" t="n">
        <x:v>45081</x:v>
      </x:c>
      <x:c r="F113" s="37" t="n">
        <x:v>27247</x:v>
      </x:c>
      <x:c r="G113" s="37" t="n">
        <x:v>10899</x:v>
      </x:c>
      <x:c r="H113" s="37" t="n">
        <x:v>6000</x:v>
      </x:c>
      <x:c r="I113" s="37" t="n">
        <x:v>3510</x:v>
      </x:c>
      <x:c r="J113" s="37" t="n">
        <x:v>40636</x:v>
      </x:c>
      <x:c r="K113" s="5" t="inlineStr">
        <x:is>
          <x:t xml:space="preserve">Active</x:t>
        </x:is>
      </x:c>
      <x:c r="L113" s="5" t="inlineStr">
        <x:is>
          <x:t xml:space="preserve">Pending</x:t>
        </x:is>
      </x:c>
      <x:c r="M113" s="9" t="n">
        <x:v>20</x:v>
      </x:c>
      <x:c r="N113" s="9" t="n">
        <x:v>7</x:v>
      </x:c>
      <x:c r="O113" s="5" t="inlineStr">
        <x:is>
          <x:t xml:space="preserve">Processed</x:t>
        </x:is>
      </x:c>
    </x:row>
    <x:row r="114">
      <x:c r="A114" s="5" t="inlineStr">
        <x:is>
          <x:t xml:space="preserve">EMP15551</x:t>
        </x:is>
      </x:c>
      <x:c r="B114" s="6" t="inlineStr">
        <x:is>
          <x:t xml:space="preserve">Oliver Pillai</x:t>
        </x:is>
      </x:c>
      <x:c r="C114" s="6" t="inlineStr">
        <x:is>
          <x:t xml:space="preserve">Risk Advisory</x:t>
        </x:is>
      </x:c>
      <x:c r="D114" s="5" t="inlineStr">
        <x:is>
          <x:t xml:space="preserve">Chennai</x:t>
        </x:is>
      </x:c>
      <x:c r="E114" s="36" t="n">
        <x:v>44249</x:v>
      </x:c>
      <x:c r="F114" s="37" t="n">
        <x:v>63780</x:v>
      </x:c>
      <x:c r="G114" s="37" t="n">
        <x:v>25512</x:v>
      </x:c>
      <x:c r="H114" s="37" t="n">
        <x:v>7500</x:v>
      </x:c>
      <x:c r="I114" s="37" t="n">
        <x:v>-3601</x:v>
      </x:c>
      <x:c r="J114" s="37" t="n">
        <x:v>100393</x:v>
      </x:c>
      <x:c r="K114" s="5" t="inlineStr">
        <x:is>
          <x:t xml:space="preserve">Pending Verification</x:t>
        </x:is>
      </x:c>
      <x:c r="L114" s="5" t="inlineStr">
        <x:is>
          <x:t xml:space="preserve">Verified</x:t>
        </x:is>
      </x:c>
      <x:c r="M114" s="9" t="n">
        <x:v>18</x:v>
      </x:c>
      <x:c r="N114" s="9" t="n">
        <x:v>2</x:v>
      </x:c>
      <x:c r="O114" s="5" t="inlineStr">
        <x:is>
          <x:t xml:space="preserve">Pending</x:t>
        </x:is>
      </x:c>
    </x:row>
    <x:row r="115">
      <x:c r="A115" s="5" t="inlineStr">
        <x:is>
          <x:t xml:space="preserve">EMP98878</x:t>
        </x:is>
      </x:c>
      <x:c r="B115" s="6" t="inlineStr">
        <x:is>
          <x:t xml:space="preserve">Sophie Bose</x:t>
        </x:is>
      </x:c>
      <x:c r="C115" s="6" t="inlineStr">
        <x:is>
          <x:t xml:space="preserve">Finance Ops</x:t>
        </x:is>
      </x:c>
      <x:c r="D115" s="5" t="inlineStr">
        <x:is>
          <x:t xml:space="preserve">Bengaluru</x:t>
        </x:is>
      </x:c>
      <x:c r="E115" s="36" t="n">
        <x:v>44877</x:v>
      </x:c>
      <x:c r="F115" s="37" t="n">
        <x:v>45733</x:v>
      </x:c>
      <x:c r="G115" s="37" t="n">
        <x:v>18293</x:v>
      </x:c>
      <x:c r="H115" s="37" t="n">
        <x:v>1500</x:v>
      </x:c>
      <x:c r="I115" s="37" t="n">
        <x:v>5956</x:v>
      </x:c>
      <x:c r="J115" s="37" t="n">
        <x:v>59570</x:v>
      </x:c>
      <x:c r="K115" s="5" t="inlineStr">
        <x:is>
          <x:t xml:space="preserve">Verified</x:t>
        </x:is>
      </x:c>
      <x:c r="L115" s="5" t="inlineStr">
        <x:is>
          <x:t xml:space="preserve">Pending</x:t>
        </x:is>
      </x:c>
      <x:c r="M115" s="9" t="n">
        <x:v>23</x:v>
      </x:c>
      <x:c r="N115" s="9" t="n">
        <x:v>5</x:v>
      </x:c>
      <x:c r="O115" s="5" t="inlineStr">
        <x:is>
          <x:t xml:space="preserve">Processed</x:t>
        </x:is>
      </x:c>
    </x:row>
    <x:row r="116">
      <x:c r="A116" s="5" t="inlineStr">
        <x:is>
          <x:t xml:space="preserve">EMP20077</x:t>
        </x:is>
      </x:c>
      <x:c r="B116" s="6" t="inlineStr">
        <x:is>
          <x:t xml:space="preserve">Divya Moore</x:t>
        </x:is>
      </x:c>
      <x:c r="C116" s="6" t="inlineStr">
        <x:is>
          <x:t xml:space="preserve">IT Support</x:t>
        </x:is>
      </x:c>
      <x:c r="D116" s="5" t="inlineStr">
        <x:is>
          <x:t xml:space="preserve">Noida</x:t>
        </x:is>
      </x:c>
      <x:c r="E116" s="36" t="n">
        <x:v>45239</x:v>
      </x:c>
      <x:c r="F116" s="37" t="n">
        <x:v>38358</x:v>
      </x:c>
      <x:c r="G116" s="37" t="n">
        <x:v>13425</x:v>
      </x:c>
      <x:c r="H116" s="37" t="n">
        <x:v>1500</x:v>
      </x:c>
      <x:c r="I116" s="37" t="n">
        <x:v>7026</x:v>
      </x:c>
      <x:c r="J116" s="37" t="n">
        <x:v>46257</x:v>
      </x:c>
      <x:c r="K116" s="5" t="inlineStr">
        <x:is>
          <x:t xml:space="preserve">Verified</x:t>
        </x:is>
      </x:c>
      <x:c r="L116" s="5" t="inlineStr">
        <x:is>
          <x:t xml:space="preserve">Pending</x:t>
        </x:is>
      </x:c>
      <x:c r="M116" s="9" t="n">
        <x:v>26</x:v>
      </x:c>
      <x:c r="N116" s="9" t="n">
        <x:v>3</x:v>
      </x:c>
      <x:c r="O116" s="5" t="inlineStr">
        <x:is>
          <x:t xml:space="preserve">Pending</x:t>
        </x:is>
      </x:c>
    </x:row>
    <x:row r="117">
      <x:c r="A117" s="5" t="inlineStr">
        <x:is>
          <x:t xml:space="preserve">EMP25435</x:t>
        </x:is>
      </x:c>
      <x:c r="B117" s="6" t="inlineStr">
        <x:is>
          <x:t xml:space="preserve">Kiran Singh</x:t>
        </x:is>
      </x:c>
      <x:c r="C117" s="6" t="inlineStr">
        <x:is>
          <x:t xml:space="preserve">Talent Ops</x:t>
        </x:is>
      </x:c>
      <x:c r="D117" s="5" t="inlineStr">
        <x:is>
          <x:t xml:space="preserve">Kolkata</x:t>
        </x:is>
      </x:c>
      <x:c r="E117" s="36" t="n">
        <x:v>44844</x:v>
      </x:c>
      <x:c r="F117" s="37" t="n">
        <x:v>67480</x:v>
      </x:c>
      <x:c r="G117" s="37" t="n">
        <x:v>26992</x:v>
      </x:c>
      <x:c r="H117" s="37" t="n">
        <x:v>4500</x:v>
      </x:c>
      <x:c r="I117" s="37" t="n">
        <x:v>2004</x:v>
      </x:c>
      <x:c r="J117" s="37" t="n">
        <x:v>96968</x:v>
      </x:c>
      <x:c r="K117" s="5" t="inlineStr">
        <x:is>
          <x:t xml:space="preserve">Verified</x:t>
        </x:is>
      </x:c>
      <x:c r="L117" s="5" t="inlineStr">
        <x:is>
          <x:t xml:space="preserve">Verified</x:t>
        </x:is>
      </x:c>
      <x:c r="M117" s="9" t="n">
        <x:v>25</x:v>
      </x:c>
      <x:c r="N117" s="9" t="n">
        <x:v>1</x:v>
      </x:c>
      <x:c r="O117" s="5" t="inlineStr">
        <x:is>
          <x:t xml:space="preserve">Pending</x:t>
        </x:is>
      </x:c>
    </x:row>
    <x:row r="118">
      <x:c r="A118" s="5" t="inlineStr">
        <x:is>
          <x:t xml:space="preserve">EMP68341</x:t>
        </x:is>
      </x:c>
      <x:c r="B118" s="6" t="inlineStr">
        <x:is>
          <x:t xml:space="preserve">Arjun Taylor</x:t>
        </x:is>
      </x:c>
      <x:c r="C118" s="6" t="inlineStr">
        <x:is>
          <x:t xml:space="preserve">IT Support</x:t>
        </x:is>
      </x:c>
      <x:c r="D118" s="5" t="inlineStr">
        <x:is>
          <x:t xml:space="preserve">Gurgaon</x:t>
        </x:is>
      </x:c>
      <x:c r="E118" s="36" t="n">
        <x:v>44457</x:v>
      </x:c>
      <x:c r="F118" s="37" t="n">
        <x:v>41029</x:v>
      </x:c>
      <x:c r="G118" s="37" t="n">
        <x:v>16412</x:v>
      </x:c>
      <x:c r="H118" s="37" t="n">
        <x:v>3000</x:v>
      </x:c>
      <x:c r="I118" s="37" t="n">
        <x:v>6831</x:v>
      </x:c>
      <x:c r="J118" s="37" t="n">
        <x:v>53610</x:v>
      </x:c>
      <x:c r="K118" s="5" t="inlineStr">
        <x:is>
          <x:t xml:space="preserve">Pending Verification</x:t>
        </x:is>
      </x:c>
      <x:c r="L118" s="5" t="inlineStr">
        <x:is>
          <x:t xml:space="preserve">Verified</x:t>
        </x:is>
      </x:c>
      <x:c r="M118" s="9" t="n">
        <x:v>30</x:v>
      </x:c>
      <x:c r="N118" s="9" t="n">
        <x:v>1</x:v>
      </x:c>
      <x:c r="O118" s="5" t="inlineStr">
        <x:is>
          <x:t xml:space="preserve">Processed</x:t>
        </x:is>
      </x:c>
    </x:row>
    <x:row r="119">
      <x:c r="A119" s="5" t="inlineStr">
        <x:is>
          <x:t xml:space="preserve">EMP25907</x:t>
        </x:is>
      </x:c>
      <x:c r="B119" s="6" t="inlineStr">
        <x:is>
          <x:t xml:space="preserve">Henry Taylor</x:t>
        </x:is>
      </x:c>
      <x:c r="C119" s="6" t="inlineStr">
        <x:is>
          <x:t xml:space="preserve">Finance Ops</x:t>
        </x:is>
      </x:c>
      <x:c r="D119" s="5" t="inlineStr">
        <x:is>
          <x:t xml:space="preserve">Pune</x:t>
        </x:is>
      </x:c>
      <x:c r="E119" s="36" t="n">
        <x:v>45303</x:v>
      </x:c>
      <x:c r="F119" s="37" t="n">
        <x:v>58308</x:v>
      </x:c>
      <x:c r="G119" s="37" t="n">
        <x:v>26239</x:v>
      </x:c>
      <x:c r="H119" s="37" t="n">
        <x:v>7500</x:v>
      </x:c>
      <x:c r="I119" s="37" t="n">
        <x:v>4828</x:v>
      </x:c>
      <x:c r="J119" s="37" t="n">
        <x:v>87219</x:v>
      </x:c>
      <x:c r="K119" s="5" t="inlineStr">
        <x:is>
          <x:t xml:space="preserve">Pending Verification</x:t>
        </x:is>
      </x:c>
      <x:c r="L119" s="5" t="inlineStr">
        <x:is>
          <x:t xml:space="preserve">Verified</x:t>
        </x:is>
      </x:c>
      <x:c r="M119" s="9" t="n">
        <x:v>27</x:v>
      </x:c>
      <x:c r="N119" s="9" t="n">
        <x:v>0</x:v>
      </x:c>
      <x:c r="O119" s="5" t="inlineStr">
        <x:is>
          <x:t xml:space="preserve">Processed</x:t>
        </x:is>
      </x:c>
    </x:row>
    <x:row r="120">
      <x:c r="A120" s="5" t="inlineStr">
        <x:is>
          <x:t xml:space="preserve">EMP62187</x:t>
        </x:is>
      </x:c>
      <x:c r="B120" s="6" t="inlineStr">
        <x:is>
          <x:t xml:space="preserve">William Moore</x:t>
        </x:is>
      </x:c>
      <x:c r="C120" s="6" t="inlineStr">
        <x:is>
          <x:t xml:space="preserve">Risk Advisory</x:t>
        </x:is>
      </x:c>
      <x:c r="D120" s="5" t="inlineStr">
        <x:is>
          <x:t xml:space="preserve">Noida</x:t>
        </x:is>
      </x:c>
      <x:c r="E120" s="36" t="n">
        <x:v>44266</x:v>
      </x:c>
      <x:c r="F120" s="37" t="n"/>
      <x:c r="G120" s="37" t="n">
        <x:v>22434</x:v>
      </x:c>
      <x:c r="H120" s="37" t="n">
        <x:v>12000</x:v>
      </x:c>
      <x:c r="I120" s="37" t="n">
        <x:v>4816</x:v>
      </x:c>
      <x:c r="J120" s="37" t="n">
        <x:v>27275</x:v>
      </x:c>
      <x:c r="K120" s="5" t="inlineStr">
        <x:is>
          <x:t xml:space="preserve">Pending Verification</x:t>
        </x:is>
      </x:c>
      <x:c r="L120" s="5" t="inlineStr">
        <x:is>
          <x:t xml:space="preserve">Pending</x:t>
        </x:is>
      </x:c>
      <x:c r="M120" s="9" t="n">
        <x:v>20</x:v>
      </x:c>
      <x:c r="N120" s="9" t="n">
        <x:v>8</x:v>
      </x:c>
      <x:c r="O120" s="5" t="inlineStr">
        <x:is>
          <x:t xml:space="preserve">Processed</x:t>
        </x:is>
      </x:c>
    </x:row>
    <x:row r="121">
      <x:c r="A121" s="5" t="inlineStr">
        <x:is>
          <x:t xml:space="preserve">EMP33850</x:t>
        </x:is>
      </x:c>
      <x:c r="B121" s="6" t="inlineStr">
        <x:is>
          <x:t xml:space="preserve">Divya Martin</x:t>
        </x:is>
      </x:c>
      <x:c r="C121" s="6" t="inlineStr">
        <x:is>
          <x:t xml:space="preserve">Tax Support</x:t>
        </x:is>
      </x:c>
      <x:c r="D121" s="5" t="inlineStr">
        <x:is>
          <x:t xml:space="preserve">Hyderabad</x:t>
        </x:is>
      </x:c>
      <x:c r="E121" s="36" t="n">
        <x:v>44444</x:v>
      </x:c>
      <x:c r="F121" s="37" t="n">
        <x:v>41931</x:v>
      </x:c>
      <x:c r="G121" s="37" t="n">
        <x:v>14676</x:v>
      </x:c>
      <x:c r="H121" s="37" t="n">
        <x:v>3000</x:v>
      </x:c>
      <x:c r="I121" s="37" t="n">
        <x:v>3643</x:v>
      </x:c>
      <x:c r="J121" s="37" t="n">
        <x:v>55964</x:v>
      </x:c>
      <x:c r="K121" s="5" t="inlineStr">
        <x:is>
          <x:t xml:space="preserve">Pending Verification</x:t>
        </x:is>
      </x:c>
      <x:c r="L121" s="5" t="inlineStr">
        <x:is>
          <x:t xml:space="preserve">Verified</x:t>
        </x:is>
      </x:c>
      <x:c r="M121" s="9" t="n">
        <x:v>23</x:v>
      </x:c>
      <x:c r="N121" s="9" t="n">
        <x:v>8</x:v>
      </x:c>
      <x:c r="O121" s="5" t="inlineStr">
        <x:is>
          <x:t xml:space="preserve">Pending</x:t>
        </x:is>
      </x:c>
    </x:row>
    <x:row r="122">
      <x:c r="A122" s="5" t="inlineStr">
        <x:is>
          <x:t xml:space="preserve">EMP20336</x:t>
        </x:is>
      </x:c>
      <x:c r="B122" s="6" t="inlineStr">
        <x:is>
          <x:t xml:space="preserve">Kiran Harris</x:t>
        </x:is>
      </x:c>
      <x:c r="C122" s="6" t="inlineStr">
        <x:is>
          <x:t xml:space="preserve">Tax Support</x:t>
        </x:is>
      </x:c>
      <x:c r="D122" s="5" t="inlineStr">
        <x:is>
          <x:t xml:space="preserve">Chennai</x:t>
        </x:is>
      </x:c>
      <x:c r="E122" s="36" t="n">
        <x:v>44875</x:v>
      </x:c>
      <x:c r="F122" s="37" t="n">
        <x:v>62267</x:v>
      </x:c>
      <x:c r="G122" s="37" t="n">
        <x:v>28020</x:v>
      </x:c>
      <x:c r="H122" s="37" t="n">
        <x:v>2500</x:v>
      </x:c>
      <x:c r="I122" s="37" t="n">
        <x:v>5117</x:v>
      </x:c>
      <x:c r="J122" s="37" t="n">
        <x:v>90170</x:v>
      </x:c>
      <x:c r="K122" s="5" t="inlineStr">
        <x:is>
          <x:t xml:space="preserve">Pending Verification</x:t>
        </x:is>
      </x:c>
      <x:c r="L122" s="5" t="inlineStr">
        <x:is>
          <x:t xml:space="preserve">Verified</x:t>
        </x:is>
      </x:c>
      <x:c r="M122" s="9" t="n">
        <x:v>27</x:v>
      </x:c>
      <x:c r="N122" s="9" t="n">
        <x:v>4</x:v>
      </x:c>
      <x:c r="O122" s="5" t="inlineStr">
        <x:is>
          <x:t xml:space="preserve">Processed</x:t>
        </x:is>
      </x:c>
    </x:row>
    <x:row r="123">
      <x:c r="A123" s="5" t="inlineStr">
        <x:is>
          <x:t xml:space="preserve">EMP96341</x:t>
        </x:is>
      </x:c>
      <x:c r="B123" s="6" t="inlineStr">
        <x:is>
          <x:t xml:space="preserve">Noah Thomas</x:t>
        </x:is>
      </x:c>
      <x:c r="C123" s="6" t="inlineStr">
        <x:is>
          <x:t xml:space="preserve">Consulting Ops</x:t>
        </x:is>
      </x:c>
      <x:c r="D123" s="5" t="inlineStr">
        <x:is>
          <x:t xml:space="preserve">Hyderabad</x:t>
        </x:is>
      </x:c>
      <x:c r="E123" s="36" t="n">
        <x:v>44229</x:v>
      </x:c>
      <x:c r="F123" s="37" t="n">
        <x:v>64038</x:v>
      </x:c>
      <x:c r="G123" s="37" t="n">
        <x:v>28817</x:v>
      </x:c>
      <x:c r="H123" s="37" t="n">
        <x:v>6000</x:v>
      </x:c>
      <x:c r="I123" s="37" t="n">
        <x:v>6334</x:v>
      </x:c>
      <x:c r="J123" s="37" t="n">
        <x:v>92521</x:v>
      </x:c>
      <x:c r="K123" s="5" t="inlineStr">
        <x:is>
          <x:t xml:space="preserve">Verified</x:t>
        </x:is>
      </x:c>
      <x:c r="L123" s="5" t="inlineStr">
        <x:is>
          <x:t xml:space="preserve">Pending</x:t>
        </x:is>
      </x:c>
      <x:c r="M123" s="9" t="n">
        <x:v>27</x:v>
      </x:c>
      <x:c r="N123" s="9" t="n">
        <x:v>0</x:v>
      </x:c>
      <x:c r="O123" s="5" t="inlineStr">
        <x:is>
          <x:t xml:space="preserve">Processed</x:t>
        </x:is>
      </x:c>
    </x:row>
    <x:row r="124">
      <x:c r="A124" s="5" t="inlineStr">
        <x:is>
          <x:t xml:space="preserve">EMP92203</x:t>
        </x:is>
      </x:c>
      <x:c r="B124" s="6" t="inlineStr">
        <x:is>
          <x:t xml:space="preserve">Lucas Rao</x:t>
        </x:is>
      </x:c>
      <x:c r="C124" s="6" t="inlineStr">
        <x:is>
          <x:t xml:space="preserve">Talent Ops</x:t>
        </x:is>
      </x:c>
      <x:c r="D124" s="5" t="inlineStr">
        <x:is>
          <x:t xml:space="preserve">Kolkata</x:t>
        </x:is>
      </x:c>
      <x:c r="E124" s="36" t="n">
        <x:v>44878</x:v>
      </x:c>
      <x:c r="F124" s="37" t="n">
        <x:v>41492</x:v>
      </x:c>
      <x:c r="G124" s="37" t="n">
        <x:v>16597</x:v>
      </x:c>
      <x:c r="H124" s="37" t="n">
        <x:v>2500</x:v>
      </x:c>
      <x:c r="I124" s="37" t="n">
        <x:v>6641</x:v>
      </x:c>
      <x:c r="J124" s="37" t="n">
        <x:v>53948</x:v>
      </x:c>
      <x:c r="K124" s="5" t="inlineStr">
        <x:is>
          <x:t xml:space="preserve">Verified</x:t>
        </x:is>
      </x:c>
      <x:c r="L124" s="5" t="inlineStr">
        <x:is>
          <x:t xml:space="preserve">Verified</x:t>
        </x:is>
      </x:c>
      <x:c r="M124" s="9" t="n">
        <x:v>25</x:v>
      </x:c>
      <x:c r="N124" s="9" t="n">
        <x:v>3</x:v>
      </x:c>
      <x:c r="O124" s="5" t="inlineStr">
        <x:is>
          <x:t xml:space="preserve">Processed</x:t>
        </x:is>
      </x:c>
    </x:row>
    <x:row r="125">
      <x:c r="A125" s="5" t="inlineStr">
        <x:is>
          <x:t xml:space="preserve">EMP36741</x:t>
        </x:is>
      </x:c>
      <x:c r="B125" s="6" t="inlineStr">
        <x:is>
          <x:t xml:space="preserve">Noah Pillai</x:t>
        </x:is>
      </x:c>
      <x:c r="C125" s="6" t="inlineStr">
        <x:is>
          <x:t xml:space="preserve">Finance Ops</x:t>
        </x:is>
      </x:c>
      <x:c r="D125" s="5" t="inlineStr">
        <x:is>
          <x:t xml:space="preserve">Gurgaon</x:t>
        </x:is>
      </x:c>
      <x:c r="E125" s="36" t="n">
        <x:v>45288</x:v>
      </x:c>
      <x:c r="F125" s="37" t="n">
        <x:v>44634</x:v>
      </x:c>
      <x:c r="G125" s="37" t="n">
        <x:v>17854</x:v>
      </x:c>
      <x:c r="H125" s="37" t="n">
        <x:v>3000</x:v>
      </x:c>
      <x:c r="I125" s="37" t="n">
        <x:v>7231</x:v>
      </x:c>
      <x:c r="J125" s="37" t="n">
        <x:v>58257</x:v>
      </x:c>
      <x:c r="K125" s="5" t="inlineStr">
        <x:is>
          <x:t xml:space="preserve">Active</x:t>
        </x:is>
      </x:c>
      <x:c r="L125" s="5" t="inlineStr">
        <x:is>
          <x:t xml:space="preserve">Verified</x:t>
        </x:is>
      </x:c>
      <x:c r="M125" s="9" t="n">
        <x:v>23</x:v>
      </x:c>
      <x:c r="N125" s="9" t="n">
        <x:v>3</x:v>
      </x:c>
      <x:c r="O125" s="5" t="inlineStr">
        <x:is>
          <x:t xml:space="preserve">Processed</x:t>
        </x:is>
      </x:c>
    </x:row>
    <x:row r="126">
      <x:c r="A126" s="5" t="inlineStr">
        <x:is>
          <x:t xml:space="preserve">EMP45058</x:t>
        </x:is>
      </x:c>
      <x:c r="B126" s="6" t="inlineStr">
        <x:is>
          <x:t xml:space="preserve">Sophie Iyer</x:t>
        </x:is>
      </x:c>
      <x:c r="C126" s="6" t="inlineStr">
        <x:is>
          <x:t xml:space="preserve">Finance Ops</x:t>
        </x:is>
      </x:c>
      <x:c r="D126" s="5" t="inlineStr">
        <x:is>
          <x:t xml:space="preserve">Bengaluru</x:t>
        </x:is>
      </x:c>
      <x:c r="E126" s="36" t="n">
        <x:v>44329</x:v>
      </x:c>
      <x:c r="F126" s="37" t="n">
        <x:v>62329</x:v>
      </x:c>
      <x:c r="G126" s="37" t="n">
        <x:v>24932</x:v>
      </x:c>
      <x:c r="H126" s="37" t="n">
        <x:v>4500</x:v>
      </x:c>
      <x:c r="I126" s="37" t="n">
        <x:v>2308</x:v>
      </x:c>
      <x:c r="J126" s="37" t="n">
        <x:v>89453</x:v>
      </x:c>
      <x:c r="K126" s="5" t="inlineStr">
        <x:is>
          <x:t xml:space="preserve">Active</x:t>
        </x:is>
      </x:c>
      <x:c r="L126" s="5" t="inlineStr">
        <x:is>
          <x:t xml:space="preserve">Pending</x:t>
        </x:is>
      </x:c>
      <x:c r="M126" s="9" t="n">
        <x:v>21</x:v>
      </x:c>
      <x:c r="N126" s="9" t="n">
        <x:v>2</x:v>
      </x:c>
      <x:c r="O126" s="5" t="inlineStr">
        <x:is>
          <x:t xml:space="preserve">Processed</x:t>
        </x:is>
      </x:c>
    </x:row>
    <x:row r="127">
      <x:c r="A127" s="5" t="inlineStr">
        <x:is>
          <x:t xml:space="preserve">EMP77466</x:t>
        </x:is>
      </x:c>
      <x:c r="B127" s="6" t="inlineStr">
        <x:is>
          <x:t xml:space="preserve">Vikram Miller</x:t>
        </x:is>
      </x:c>
      <x:c r="C127" s="6" t="inlineStr">
        <x:is>
          <x:t xml:space="preserve">Talent Ops</x:t>
        </x:is>
      </x:c>
      <x:c r="D127" s="5" t="inlineStr">
        <x:is>
          <x:t xml:space="preserve">Kolkata</x:t>
        </x:is>
      </x:c>
      <x:c r="E127" s="36" t="n">
        <x:v>44240</x:v>
      </x:c>
      <x:c r="F127" s="37" t="n">
        <x:v>55124</x:v>
      </x:c>
      <x:c r="G127" s="37" t="n">
        <x:v>22050</x:v>
      </x:c>
      <x:c r="H127" s="37" t="n">
        <x:v>4500</x:v>
      </x:c>
      <x:c r="I127" s="37" t="n">
        <x:v>2762</x:v>
      </x:c>
      <x:c r="J127" s="37" t="n">
        <x:v>78912</x:v>
      </x:c>
      <x:c r="K127" s="5" t="inlineStr">
        <x:is>
          <x:t xml:space="preserve">Pending Verification</x:t>
        </x:is>
      </x:c>
      <x:c r="L127" s="5" t="inlineStr">
        <x:is>
          <x:t xml:space="preserve">Pending</x:t>
        </x:is>
      </x:c>
      <x:c r="M127" s="9" t="n">
        <x:v>18</x:v>
      </x:c>
      <x:c r="N127" s="9" t="n">
        <x:v>0</x:v>
      </x:c>
      <x:c r="O127" s="5" t="inlineStr">
        <x:is>
          <x:t xml:space="preserve">Processed</x:t>
        </x:is>
      </x:c>
    </x:row>
    <x:row r="128">
      <x:c r="A128" s="5" t="inlineStr">
        <x:is>
          <x:t xml:space="preserve">EMP88317</x:t>
        </x:is>
      </x:c>
      <x:c r="B128" s="6" t="inlineStr">
        <x:is>
          <x:t xml:space="preserve">William Johnson</x:t>
        </x:is>
      </x:c>
      <x:c r="C128" s="6" t="inlineStr">
        <x:is>
          <x:t xml:space="preserve">Tax Support</x:t>
        </x:is>
      </x:c>
      <x:c r="D128" s="5" t="inlineStr">
        <x:is>
          <x:t xml:space="preserve">Hyderabad</x:t>
        </x:is>
      </x:c>
      <x:c r="E128" s="36" t="n">
        <x:v>44382</x:v>
      </x:c>
      <x:c r="F128" s="37" t="n">
        <x:v>39332</x:v>
      </x:c>
      <x:c r="G128" s="37" t="n">
        <x:v>17699</x:v>
      </x:c>
      <x:c r="H128" s="37" t="n">
        <x:v>7500</x:v>
      </x:c>
      <x:c r="I128" s="37" t="n">
        <x:v>7257</x:v>
      </x:c>
      <x:c r="J128" s="37" t="n">
        <x:v>57274</x:v>
      </x:c>
      <x:c r="K128" s="5" t="inlineStr">
        <x:is>
          <x:t xml:space="preserve">Active</x:t>
        </x:is>
      </x:c>
      <x:c r="L128" s="5" t="inlineStr">
        <x:is>
          <x:t xml:space="preserve">Pending</x:t>
        </x:is>
      </x:c>
      <x:c r="M128" s="9" t="n">
        <x:v>18</x:v>
      </x:c>
      <x:c r="N128" s="9" t="n">
        <x:v>6</x:v>
      </x:c>
      <x:c r="O128" s="5" t="inlineStr">
        <x:is>
          <x:t xml:space="preserve">Processed</x:t>
        </x:is>
      </x:c>
    </x:row>
    <x:row r="129">
      <x:c r="A129" s="5" t="inlineStr">
        <x:is>
          <x:t xml:space="preserve">EMP83638</x:t>
        </x:is>
      </x:c>
      <x:c r="B129" s="6" t="inlineStr">
        <x:is>
          <x:t xml:space="preserve">Henry Kumar</x:t>
        </x:is>
      </x:c>
      <x:c r="C129" s="6" t="inlineStr">
        <x:is>
          <x:t xml:space="preserve">Tax Support</x:t>
        </x:is>
      </x:c>
      <x:c r="D129" s="5" t="inlineStr">
        <x:is>
          <x:t xml:space="preserve">Chennai</x:t>
        </x:is>
      </x:c>
      <x:c r="E129" s="36" t="n">
        <x:v>44394</x:v>
      </x:c>
      <x:c r="F129" s="37" t="n">
        <x:v>51514</x:v>
      </x:c>
      <x:c r="G129" s="37" t="n">
        <x:v>23181</x:v>
      </x:c>
      <x:c r="H129" s="37" t="n">
        <x:v>6000</x:v>
      </x:c>
      <x:c r="I129" s="37" t="n">
        <x:v>7760</x:v>
      </x:c>
      <x:c r="J129" s="37" t="n">
        <x:v>72935</x:v>
      </x:c>
      <x:c r="K129" s="5" t="inlineStr">
        <x:is>
          <x:t xml:space="preserve">Pending Verification</x:t>
        </x:is>
      </x:c>
      <x:c r="L129" s="5" t="inlineStr">
        <x:is>
          <x:t xml:space="preserve">Verified</x:t>
        </x:is>
      </x:c>
      <x:c r="M129" s="9" t="n">
        <x:v>20</x:v>
      </x:c>
      <x:c r="N129" s="9" t="n">
        <x:v>1</x:v>
      </x:c>
      <x:c r="O129" s="5" t="inlineStr">
        <x:is>
          <x:t xml:space="preserve">Processed</x:t>
        </x:is>
      </x:c>
    </x:row>
    <x:row r="130">
      <x:c r="A130" s="5" t="inlineStr">
        <x:is>
          <x:t xml:space="preserve">EMP78125</x:t>
        </x:is>
      </x:c>
      <x:c r="B130" s="6" t="inlineStr">
        <x:is>
          <x:t xml:space="preserve">Pooja Singh</x:t>
        </x:is>
      </x:c>
      <x:c r="C130" s="6" t="inlineStr">
        <x:is>
          <x:t xml:space="preserve">Finance Ops</x:t>
        </x:is>
      </x:c>
      <x:c r="D130" s="5" t="inlineStr">
        <x:is>
          <x:t xml:space="preserve">Pune</x:t>
        </x:is>
      </x:c>
      <x:c r="E130" s="36" t="n">
        <x:v>45537</x:v>
      </x:c>
      <x:c r="F130" s="37" t="n">
        <x:v>24969</x:v>
      </x:c>
      <x:c r="G130" s="37" t="n">
        <x:v>8739</x:v>
      </x:c>
      <x:c r="H130" s="37" t="n">
        <x:v>3000</x:v>
      </x:c>
      <x:c r="I130" s="37" t="n">
        <x:v>6845</x:v>
      </x:c>
      <x:c r="J130" s="37" t="n">
        <x:v>29863</x:v>
      </x:c>
      <x:c r="K130" s="5" t="inlineStr">
        <x:is>
          <x:t xml:space="preserve">Active</x:t>
        </x:is>
      </x:c>
      <x:c r="L130" s="5" t="inlineStr">
        <x:is>
          <x:t xml:space="preserve">Pending</x:t>
        </x:is>
      </x:c>
      <x:c r="M130" s="9" t="n">
        <x:v>26</x:v>
      </x:c>
      <x:c r="N130" s="9" t="n">
        <x:v>3</x:v>
      </x:c>
      <x:c r="O130" s="5" t="inlineStr">
        <x:is>
          <x:t xml:space="preserve">Processed</x:t>
        </x:is>
      </x:c>
    </x:row>
    <x:row r="131">
      <x:c r="A131" s="5" t="inlineStr">
        <x:is>
          <x:t xml:space="preserve">EMP77568</x:t>
        </x:is>
      </x:c>
      <x:c r="B131" s="6" t="inlineStr">
        <x:is>
          <x:t xml:space="preserve">Divya Khan</x:t>
        </x:is>
      </x:c>
      <x:c r="C131" s="6" t="inlineStr">
        <x:is>
          <x:t xml:space="preserve">Consulting Ops</x:t>
        </x:is>
      </x:c>
      <x:c r="D131" s="5" t="inlineStr">
        <x:is>
          <x:t xml:space="preserve">Gurgaon</x:t>
        </x:is>
      </x:c>
      <x:c r="E131" s="36" t="n">
        <x:v>44762</x:v>
      </x:c>
      <x:c r="F131" s="37" t="n">
        <x:v>70452</x:v>
      </x:c>
      <x:c r="G131" s="37" t="n">
        <x:v>28181</x:v>
      </x:c>
      <x:c r="H131" s="37" t="n">
        <x:v>7500</x:v>
      </x:c>
      <x:c r="I131" s="37" t="n">
        <x:v>5155</x:v>
      </x:c>
      <x:c r="J131" s="37" t="n">
        <x:v>100978</x:v>
      </x:c>
      <x:c r="K131" s="5" t="inlineStr">
        <x:is>
          <x:t xml:space="preserve">Pending Verification</x:t>
        </x:is>
      </x:c>
      <x:c r="L131" s="5" t="inlineStr">
        <x:is>
          <x:t xml:space="preserve">Pending</x:t>
        </x:is>
      </x:c>
      <x:c r="M131" s="9" t="n">
        <x:v>29</x:v>
      </x:c>
      <x:c r="N131" s="9" t="n">
        <x:v>2</x:v>
      </x:c>
      <x:c r="O131" s="5" t="inlineStr">
        <x:is>
          <x:t xml:space="preserve">Processed</x:t>
        </x:is>
      </x:c>
    </x:row>
    <x:row r="132">
      <x:c r="A132" s="5" t="inlineStr">
        <x:is>
          <x:t xml:space="preserve">EMP12180</x:t>
        </x:is>
      </x:c>
      <x:c r="B132" s="6" t="inlineStr">
        <x:is>
          <x:t xml:space="preserve">Pooja Khan</x:t>
        </x:is>
      </x:c>
      <x:c r="C132" s="6" t="inlineStr">
        <x:is>
          <x:t xml:space="preserve">HR Shared Services</x:t>
        </x:is>
      </x:c>
      <x:c r="D132" s="5" t="inlineStr">
        <x:is>
          <x:t xml:space="preserve">Noida</x:t>
        </x:is>
      </x:c>
      <x:c r="E132" s="36" t="n">
        <x:v>45288</x:v>
      </x:c>
      <x:c r="F132" s="37" t="n">
        <x:v>67091</x:v>
      </x:c>
      <x:c r="G132" s="37" t="n">
        <x:v>30191</x:v>
      </x:c>
      <x:c r="H132" s="37" t="n">
        <x:v>1500</x:v>
      </x:c>
      <x:c r="I132" s="37" t="n">
        <x:v>5889</x:v>
      </x:c>
      <x:c r="J132" s="37" t="n">
        <x:v>92893</x:v>
      </x:c>
      <x:c r="K132" s="5" t="inlineStr">
        <x:is>
          <x:t xml:space="preserve">Active</x:t>
        </x:is>
      </x:c>
      <x:c r="L132" s="5" t="inlineStr">
        <x:is>
          <x:t xml:space="preserve">Pending</x:t>
        </x:is>
      </x:c>
      <x:c r="M132" s="9" t="n">
        <x:v>28</x:v>
      </x:c>
      <x:c r="N132" s="9" t="n">
        <x:v>1</x:v>
      </x:c>
      <x:c r="O132" s="5" t="inlineStr">
        <x:is>
          <x:t xml:space="preserve">Processed</x:t>
        </x:is>
      </x:c>
    </x:row>
    <x:row r="133">
      <x:c r="A133" s="5" t="inlineStr">
        <x:is>
          <x:t xml:space="preserve">EMP86483</x:t>
        </x:is>
      </x:c>
      <x:c r="B133" s="6" t="inlineStr">
        <x:is>
          <x:t xml:space="preserve">William Gupta</x:t>
        </x:is>
      </x:c>
      <x:c r="C133" s="6" t="inlineStr">
        <x:is>
          <x:t xml:space="preserve">Tax Support</x:t>
        </x:is>
      </x:c>
      <x:c r="D133" s="5" t="inlineStr">
        <x:is>
          <x:t xml:space="preserve">Noida</x:t>
        </x:is>
      </x:c>
      <x:c r="E133" s="36" t="n">
        <x:v>44873</x:v>
      </x:c>
      <x:c r="F133" s="37" t="n">
        <x:v>24069</x:v>
      </x:c>
      <x:c r="G133" s="37" t="n">
        <x:v>10831</x:v>
      </x:c>
      <x:c r="H133" s="37" t="n">
        <x:v>2500</x:v>
      </x:c>
      <x:c r="I133" s="37" t="n">
        <x:v>2562</x:v>
      </x:c>
      <x:c r="J133" s="37" t="n">
        <x:v>34838</x:v>
      </x:c>
      <x:c r="K133" s="5" t="inlineStr">
        <x:is>
          <x:t xml:space="preserve">Verified</x:t>
        </x:is>
      </x:c>
      <x:c r="L133" s="5" t="inlineStr">
        <x:is>
          <x:t xml:space="preserve">Pending</x:t>
        </x:is>
      </x:c>
      <x:c r="M133" s="9" t="n">
        <x:v>23</x:v>
      </x:c>
      <x:c r="N133" s="9" t="n">
        <x:v>6</x:v>
      </x:c>
      <x:c r="O133" s="5" t="inlineStr">
        <x:is>
          <x:t xml:space="preserve">Processed</x:t>
        </x:is>
      </x:c>
    </x:row>
    <x:row r="134">
      <x:c r="A134" s="5" t="inlineStr">
        <x:is>
          <x:t xml:space="preserve">EMP36724</x:t>
        </x:is>
      </x:c>
      <x:c r="B134" s="6" t="inlineStr">
        <x:is>
          <x:t xml:space="preserve">Rohan Moore</x:t>
        </x:is>
      </x:c>
      <x:c r="C134" s="6" t="inlineStr">
        <x:is>
          <x:t xml:space="preserve">Consulting Ops</x:t>
        </x:is>
      </x:c>
      <x:c r="D134" s="5" t="inlineStr">
        <x:is>
          <x:t xml:space="preserve">Kolkata</x:t>
        </x:is>
      </x:c>
      <x:c r="E134" s="36" t="n">
        <x:v>44535</x:v>
      </x:c>
      <x:c r="F134" s="37" t="n">
        <x:v>55992</x:v>
      </x:c>
      <x:c r="G134" s="37" t="n">
        <x:v>19597</x:v>
      </x:c>
      <x:c r="H134" s="37" t="n">
        <x:v>7500</x:v>
      </x:c>
      <x:c r="I134" s="37" t="n">
        <x:v>6424</x:v>
      </x:c>
      <x:c r="J134" s="37" t="n">
        <x:v>76665</x:v>
      </x:c>
      <x:c r="K134" s="5" t="inlineStr">
        <x:is>
          <x:t xml:space="preserve">Active</x:t>
        </x:is>
      </x:c>
      <x:c r="L134" s="5" t="n"/>
      <x:c r="M134" s="9" t="n">
        <x:v>23</x:v>
      </x:c>
      <x:c r="N134" s="9" t="n">
        <x:v>2</x:v>
      </x:c>
      <x:c r="O134" s="5" t="inlineStr">
        <x:is>
          <x:t xml:space="preserve">Processed</x:t>
        </x:is>
      </x:c>
    </x:row>
    <x:row r="135">
      <x:c r="A135" s="5" t="inlineStr">
        <x:is>
          <x:t xml:space="preserve">EMP79878</x:t>
        </x:is>
      </x:c>
      <x:c r="B135" s="6" t="inlineStr">
        <x:is>
          <x:t xml:space="preserve">Noah Nair</x:t>
        </x:is>
      </x:c>
      <x:c r="C135" s="6" t="inlineStr">
        <x:is>
          <x:t xml:space="preserve">IT Support</x:t>
        </x:is>
      </x:c>
      <x:c r="D135" s="5" t="inlineStr">
        <x:is>
          <x:t xml:space="preserve">Chennai</x:t>
        </x:is>
      </x:c>
      <x:c r="E135" s="36" t="n">
        <x:v>45390</x:v>
      </x:c>
      <x:c r="F135" s="37" t="n">
        <x:v>40284</x:v>
      </x:c>
      <x:c r="G135" s="37" t="n">
        <x:v>18128</x:v>
      </x:c>
      <x:c r="H135" s="37" t="n">
        <x:v>6000</x:v>
      </x:c>
      <x:c r="I135" s="37" t="n">
        <x:v>2842</x:v>
      </x:c>
      <x:c r="J135" s="37" t="n">
        <x:v>61570</x:v>
      </x:c>
      <x:c r="K135" s="5" t="inlineStr">
        <x:is>
          <x:t xml:space="preserve">Active</x:t>
        </x:is>
      </x:c>
      <x:c r="L135" s="5" t="inlineStr">
        <x:is>
          <x:t xml:space="preserve">Pending</x:t>
        </x:is>
      </x:c>
      <x:c r="M135" s="9" t="n">
        <x:v>29</x:v>
      </x:c>
      <x:c r="N135" s="9" t="n">
        <x:v>0</x:v>
      </x:c>
      <x:c r="O135" s="5" t="inlineStr">
        <x:is>
          <x:t xml:space="preserve">Processed</x:t>
        </x:is>
      </x:c>
    </x:row>
    <x:row r="136">
      <x:c r="A136" s="5" t="inlineStr">
        <x:is>
          <x:t xml:space="preserve">EMP74094</x:t>
        </x:is>
      </x:c>
      <x:c r="B136" s="6" t="inlineStr">
        <x:is>
          <x:t xml:space="preserve">Mohammed Miller</x:t>
        </x:is>
      </x:c>
      <x:c r="C136" s="6" t="inlineStr">
        <x:is>
          <x:t xml:space="preserve">IT Support</x:t>
        </x:is>
      </x:c>
      <x:c r="D136" s="5" t="inlineStr">
        <x:is>
          <x:t xml:space="preserve">Chennai</x:t>
        </x:is>
      </x:c>
      <x:c r="E136" s="36" t="n">
        <x:v>44976</x:v>
      </x:c>
      <x:c r="F136" s="37" t="n">
        <x:v>66343</x:v>
      </x:c>
      <x:c r="G136" s="37" t="n">
        <x:v>29854</x:v>
      </x:c>
      <x:c r="H136" s="37" t="n">
        <x:v>9000</x:v>
      </x:c>
      <x:c r="I136" s="37" t="n">
        <x:v>4232</x:v>
      </x:c>
      <x:c r="J136" s="37" t="n">
        <x:v>100965</x:v>
      </x:c>
      <x:c r="K136" s="5" t="inlineStr">
        <x:is>
          <x:t xml:space="preserve">Active</x:t>
        </x:is>
      </x:c>
      <x:c r="L136" s="5" t="inlineStr">
        <x:is>
          <x:t xml:space="preserve">Verified</x:t>
        </x:is>
      </x:c>
      <x:c r="M136" s="9" t="n">
        <x:v>22</x:v>
      </x:c>
      <x:c r="N136" s="9" t="n">
        <x:v>0</x:v>
      </x:c>
      <x:c r="O136" s="5" t="inlineStr">
        <x:is>
          <x:t xml:space="preserve">Processed</x:t>
        </x:is>
      </x:c>
    </x:row>
    <x:row r="137">
      <x:c r="A137" s="5" t="inlineStr">
        <x:is>
          <x:t xml:space="preserve">EMP20358</x:t>
        </x:is>
      </x:c>
      <x:c r="B137" s="6" t="inlineStr">
        <x:is>
          <x:t xml:space="preserve">Oliver White</x:t>
        </x:is>
      </x:c>
      <x:c r="C137" s="6" t="inlineStr">
        <x:is>
          <x:t xml:space="preserve">Audit Support</x:t>
        </x:is>
      </x:c>
      <x:c r="D137" s="5" t="inlineStr">
        <x:is>
          <x:t xml:space="preserve">Chennai</x:t>
        </x:is>
      </x:c>
      <x:c r="E137" s="36" t="n">
        <x:v>45389</x:v>
      </x:c>
      <x:c r="F137" s="37" t="n">
        <x:v>76260</x:v>
      </x:c>
      <x:c r="G137" s="37" t="n">
        <x:v>34317</x:v>
      </x:c>
      <x:c r="H137" s="37" t="n">
        <x:v>6000</x:v>
      </x:c>
      <x:c r="I137" s="37" t="n">
        <x:v>5604</x:v>
      </x:c>
      <x:c r="J137" s="37" t="n">
        <x:v>110973</x:v>
      </x:c>
      <x:c r="K137" s="5" t="inlineStr">
        <x:is>
          <x:t xml:space="preserve">Pending Verification</x:t>
        </x:is>
      </x:c>
      <x:c r="L137" s="5" t="inlineStr">
        <x:is>
          <x:t xml:space="preserve">Pending</x:t>
        </x:is>
      </x:c>
      <x:c r="M137" s="9" t="n">
        <x:v>20</x:v>
      </x:c>
      <x:c r="N137" s="9" t="n">
        <x:v>1</x:v>
      </x:c>
      <x:c r="O137" s="5" t="inlineStr">
        <x:is>
          <x:t xml:space="preserve">Processed</x:t>
        </x:is>
      </x:c>
    </x:row>
    <x:row r="138">
      <x:c r="A138" s="5" t="inlineStr">
        <x:is>
          <x:t xml:space="preserve">EMP86917</x:t>
        </x:is>
      </x:c>
      <x:c r="B138" s="6" t="inlineStr">
        <x:is>
          <x:t xml:space="preserve">Kavya Iyer</x:t>
        </x:is>
      </x:c>
      <x:c r="C138" s="6" t="inlineStr">
        <x:is>
          <x:t xml:space="preserve">Payroll Ops</x:t>
        </x:is>
      </x:c>
      <x:c r="D138" s="5" t="inlineStr">
        <x:is>
          <x:t xml:space="preserve">Pune</x:t>
        </x:is>
      </x:c>
      <x:c r="E138" s="36" t="n">
        <x:v>44565</x:v>
      </x:c>
      <x:c r="F138" s="37" t="n">
        <x:v>49086</x:v>
      </x:c>
      <x:c r="G138" s="37" t="n">
        <x:v>19634</x:v>
      </x:c>
      <x:c r="H138" s="37" t="n">
        <x:v>12000</x:v>
      </x:c>
      <x:c r="I138" s="37" t="n">
        <x:v>1823</x:v>
      </x:c>
      <x:c r="J138" s="37" t="n">
        <x:v>78897</x:v>
      </x:c>
      <x:c r="K138" s="5" t="inlineStr">
        <x:is>
          <x:t xml:space="preserve">Pending Verification</x:t>
        </x:is>
      </x:c>
      <x:c r="L138" s="5" t="inlineStr">
        <x:is>
          <x:t xml:space="preserve">Verified</x:t>
        </x:is>
      </x:c>
      <x:c r="M138" s="9" t="n">
        <x:v>18</x:v>
      </x:c>
      <x:c r="N138" s="9" t="n">
        <x:v>8</x:v>
      </x:c>
      <x:c r="O138" s="5" t="inlineStr">
        <x:is>
          <x:t xml:space="preserve">Hold</x:t>
        </x:is>
      </x:c>
    </x:row>
    <x:row r="139">
      <x:c r="A139" s="5" t="inlineStr">
        <x:is>
          <x:t xml:space="preserve">EMP30701</x:t>
        </x:is>
      </x:c>
      <x:c r="B139" s="6" t="inlineStr">
        <x:is>
          <x:t xml:space="preserve">Rohan Rao</x:t>
        </x:is>
      </x:c>
      <x:c r="C139" s="6" t="inlineStr">
        <x:is>
          <x:t xml:space="preserve">Audit Support</x:t>
        </x:is>
      </x:c>
      <x:c r="D139" s="5" t="inlineStr">
        <x:is>
          <x:t xml:space="preserve">Kolkata</x:t>
        </x:is>
      </x:c>
      <x:c r="E139" s="36" t="n">
        <x:v>44692</x:v>
      </x:c>
      <x:c r="F139" s="37" t="n">
        <x:v>40704</x:v>
      </x:c>
      <x:c r="G139" s="37" t="n">
        <x:v>18317</x:v>
      </x:c>
      <x:c r="H139" s="37" t="n">
        <x:v>1500</x:v>
      </x:c>
      <x:c r="I139" s="37" t="n">
        <x:v>7297</x:v>
      </x:c>
      <x:c r="J139" s="37" t="n">
        <x:v>53224</x:v>
      </x:c>
      <x:c r="K139" s="5" t="inlineStr">
        <x:is>
          <x:t xml:space="preserve">Verified</x:t>
        </x:is>
      </x:c>
      <x:c r="L139" s="5" t="inlineStr">
        <x:is>
          <x:t xml:space="preserve">Verified</x:t>
        </x:is>
      </x:c>
      <x:c r="M139" s="9" t="n">
        <x:v>26</x:v>
      </x:c>
      <x:c r="N139" s="9" t="n">
        <x:v>5</x:v>
      </x:c>
      <x:c r="O139" s="5" t="inlineStr">
        <x:is>
          <x:t xml:space="preserve">Processed</x:t>
        </x:is>
      </x:c>
    </x:row>
    <x:row r="140">
      <x:c r="A140" s="5" t="inlineStr">
        <x:is>
          <x:t xml:space="preserve">EMP14888</x:t>
        </x:is>
      </x:c>
      <x:c r="B140" s="6" t="inlineStr">
        <x:is>
          <x:t xml:space="preserve">Fatima Martin</x:t>
        </x:is>
      </x:c>
      <x:c r="C140" s="6" t="inlineStr">
        <x:is>
          <x:t xml:space="preserve">Finance Ops</x:t>
        </x:is>
      </x:c>
      <x:c r="D140" s="5" t="inlineStr">
        <x:is>
          <x:t xml:space="preserve">Hyderabad</x:t>
        </x:is>
      </x:c>
      <x:c r="E140" s="36" t="n">
        <x:v>45510</x:v>
      </x:c>
      <x:c r="F140" s="37" t="n">
        <x:v>71086</x:v>
      </x:c>
      <x:c r="G140" s="37" t="n">
        <x:v>28434</x:v>
      </x:c>
      <x:c r="H140" s="37" t="n">
        <x:v>1500</x:v>
      </x:c>
      <x:c r="I140" s="37" t="n">
        <x:v>1075</x:v>
      </x:c>
      <x:c r="J140" s="37" t="n">
        <x:v>99945</x:v>
      </x:c>
      <x:c r="K140" s="5" t="inlineStr">
        <x:is>
          <x:t xml:space="preserve">Active</x:t>
        </x:is>
      </x:c>
      <x:c r="L140" s="5" t="inlineStr">
        <x:is>
          <x:t xml:space="preserve">Verified</x:t>
        </x:is>
      </x:c>
      <x:c r="M140" s="9" t="n">
        <x:v>23</x:v>
      </x:c>
      <x:c r="N140" s="9" t="n">
        <x:v>4</x:v>
      </x:c>
      <x:c r="O140" s="5" t="inlineStr">
        <x:is>
          <x:t xml:space="preserve">Processed</x:t>
        </x:is>
      </x:c>
    </x:row>
    <x:row r="141">
      <x:c r="A141" s="5" t="inlineStr">
        <x:is>
          <x:t xml:space="preserve">EMP94058</x:t>
        </x:is>
      </x:c>
      <x:c r="B141" s="6" t="inlineStr">
        <x:is>
          <x:t xml:space="preserve">Charlotte Verma</x:t>
        </x:is>
      </x:c>
      <x:c r="C141" s="6" t="inlineStr">
        <x:is>
          <x:t xml:space="preserve">Finance Ops</x:t>
        </x:is>
      </x:c>
      <x:c r="D141" s="5" t="inlineStr">
        <x:is>
          <x:t xml:space="preserve">Kolkata</x:t>
        </x:is>
      </x:c>
      <x:c r="E141" s="36" t="n">
        <x:v>45042</x:v>
      </x:c>
      <x:c r="F141" s="37" t="n">
        <x:v>29382</x:v>
      </x:c>
      <x:c r="G141" s="37" t="n">
        <x:v>11753</x:v>
      </x:c>
      <x:c r="H141" s="37" t="n">
        <x:v>3000</x:v>
      </x:c>
      <x:c r="I141" s="37" t="n">
        <x:v>6989</x:v>
      </x:c>
      <x:c r="J141" s="37" t="n">
        <x:v>37146</x:v>
      </x:c>
      <x:c r="K141" s="5" t="inlineStr">
        <x:is>
          <x:t xml:space="preserve">Active</x:t>
        </x:is>
      </x:c>
      <x:c r="L141" s="5" t="inlineStr">
        <x:is>
          <x:t xml:space="preserve">Pending</x:t>
        </x:is>
      </x:c>
      <x:c r="M141" s="9" t="n">
        <x:v>29</x:v>
      </x:c>
      <x:c r="N141" s="9" t="n">
        <x:v>0</x:v>
      </x:c>
      <x:c r="O141" s="5" t="inlineStr">
        <x:is>
          <x:t xml:space="preserve">Processed</x:t>
        </x:is>
      </x:c>
    </x:row>
    <x:row r="142">
      <x:c r="A142" s="5" t="inlineStr">
        <x:is>
          <x:t xml:space="preserve">EMP54185</x:t>
        </x:is>
      </x:c>
      <x:c r="B142" s="6" t="inlineStr">
        <x:is>
          <x:t xml:space="preserve">Lucas Patel</x:t>
        </x:is>
      </x:c>
      <x:c r="C142" s="6" t="inlineStr">
        <x:is>
          <x:t xml:space="preserve">Benefits Team</x:t>
        </x:is>
      </x:c>
      <x:c r="D142" s="5" t="inlineStr">
        <x:is>
          <x:t xml:space="preserve">Mumbai</x:t>
        </x:is>
      </x:c>
      <x:c r="E142" s="36" t="n">
        <x:v>45490</x:v>
      </x:c>
      <x:c r="F142" s="37" t="n">
        <x:v>43491</x:v>
      </x:c>
      <x:c r="G142" s="37" t="n">
        <x:v>15222</x:v>
      </x:c>
      <x:c r="H142" s="37" t="n">
        <x:v>9000</x:v>
      </x:c>
      <x:c r="I142" s="37" t="n">
        <x:v>6482</x:v>
      </x:c>
      <x:c r="J142" s="37" t="n">
        <x:v>61231</x:v>
      </x:c>
      <x:c r="K142" s="5" t="inlineStr">
        <x:is>
          <x:t xml:space="preserve">Verified</x:t>
        </x:is>
      </x:c>
      <x:c r="L142" s="5" t="inlineStr">
        <x:is>
          <x:t xml:space="preserve">Verified</x:t>
        </x:is>
      </x:c>
      <x:c r="M142" s="9" t="n">
        <x:v>36</x:v>
      </x:c>
      <x:c r="N142" s="9" t="n">
        <x:v>7</x:v>
      </x:c>
      <x:c r="O142" s="5" t="inlineStr">
        <x:is>
          <x:t xml:space="preserve">Processed</x:t>
        </x:is>
      </x:c>
    </x:row>
    <x:row r="143">
      <x:c r="A143" s="5" t="inlineStr">
        <x:is>
          <x:t xml:space="preserve">EMP42512</x:t>
        </x:is>
      </x:c>
      <x:c r="B143" s="6" t="inlineStr">
        <x:is>
          <x:t xml:space="preserve">Aarav Jackson</x:t>
        </x:is>
      </x:c>
      <x:c r="C143" s="6" t="inlineStr">
        <x:is>
          <x:t xml:space="preserve">Risk Advisory</x:t>
        </x:is>
      </x:c>
      <x:c r="D143" s="5" t="inlineStr">
        <x:is>
          <x:t xml:space="preserve">Pune</x:t>
        </x:is>
      </x:c>
      <x:c r="E143" s="36" t="n">
        <x:v>45423</x:v>
      </x:c>
      <x:c r="F143" s="37" t="n">
        <x:v>41788</x:v>
      </x:c>
      <x:c r="G143" s="37" t="n">
        <x:v>18805</x:v>
      </x:c>
      <x:c r="H143" s="37" t="n">
        <x:v>1500</x:v>
      </x:c>
      <x:c r="I143" s="37" t="n">
        <x:v>3142</x:v>
      </x:c>
      <x:c r="J143" s="37" t="n">
        <x:v>58951</x:v>
      </x:c>
      <x:c r="K143" s="5" t="inlineStr">
        <x:is>
          <x:t xml:space="preserve">Pending Verification</x:t>
        </x:is>
      </x:c>
      <x:c r="L143" s="5" t="inlineStr">
        <x:is>
          <x:t xml:space="preserve">Pending</x:t>
        </x:is>
      </x:c>
      <x:c r="M143" s="9" t="n">
        <x:v>29</x:v>
      </x:c>
      <x:c r="N143" s="9" t="n">
        <x:v>0</x:v>
      </x:c>
      <x:c r="O143" s="5" t="inlineStr">
        <x:is>
          <x:t xml:space="preserve">Processed</x:t>
        </x:is>
      </x:c>
    </x:row>
    <x:row r="144">
      <x:c r="A144" s="5" t="inlineStr">
        <x:is>
          <x:t xml:space="preserve">EMP25495</x:t>
        </x:is>
      </x:c>
      <x:c r="B144" s="6" t="inlineStr">
        <x:is>
          <x:t xml:space="preserve">Vikram Johnson</x:t>
        </x:is>
      </x:c>
      <x:c r="C144" s="6" t="inlineStr">
        <x:is>
          <x:t xml:space="preserve">Finance Ops</x:t>
        </x:is>
      </x:c>
      <x:c r="D144" s="5" t="inlineStr">
        <x:is>
          <x:t xml:space="preserve">Noida</x:t>
        </x:is>
      </x:c>
      <x:c r="E144" s="36" t="n">
        <x:v>45264</x:v>
      </x:c>
      <x:c r="F144" s="37" t="n">
        <x:v>63858</x:v>
      </x:c>
      <x:c r="G144" s="37" t="n">
        <x:v>25543</x:v>
      </x:c>
      <x:c r="H144" s="37" t="n">
        <x:v>7500</x:v>
      </x:c>
      <x:c r="I144" s="37" t="n">
        <x:v>6035</x:v>
      </x:c>
      <x:c r="J144" s="37" t="n">
        <x:v>90866</x:v>
      </x:c>
      <x:c r="K144" s="5" t="inlineStr">
        <x:is>
          <x:t xml:space="preserve">Verified</x:t>
        </x:is>
      </x:c>
      <x:c r="L144" s="5" t="inlineStr">
        <x:is>
          <x:t xml:space="preserve">Verified</x:t>
        </x:is>
      </x:c>
      <x:c r="M144" s="9" t="n">
        <x:v>20</x:v>
      </x:c>
      <x:c r="N144" s="9" t="n">
        <x:v>7</x:v>
      </x:c>
      <x:c r="O144" s="5" t="inlineStr">
        <x:is>
          <x:t xml:space="preserve">Processed</x:t>
        </x:is>
      </x:c>
    </x:row>
    <x:row r="145">
      <x:c r="A145" s="5" t="inlineStr">
        <x:is>
          <x:t xml:space="preserve">EMP89395</x:t>
        </x:is>
      </x:c>
      <x:c r="B145" s="6" t="inlineStr">
        <x:is>
          <x:t xml:space="preserve">Pooja Martin</x:t>
        </x:is>
      </x:c>
      <x:c r="C145" s="6" t="inlineStr">
        <x:is>
          <x:t xml:space="preserve">Tax Support</x:t>
        </x:is>
      </x:c>
      <x:c r="D145" s="5" t="inlineStr">
        <x:is>
          <x:t xml:space="preserve">Kolkata</x:t>
        </x:is>
      </x:c>
      <x:c r="E145" s="36" t="n">
        <x:v>44673</x:v>
      </x:c>
      <x:c r="F145" s="37" t="n">
        <x:v>71462</x:v>
      </x:c>
      <x:c r="G145" s="37" t="n">
        <x:v>32158</x:v>
      </x:c>
      <x:c r="H145" s="37" t="n">
        <x:v>2500</x:v>
      </x:c>
      <x:c r="I145" s="37" t="n">
        <x:v>5304</x:v>
      </x:c>
      <x:c r="J145" s="37" t="n">
        <x:v>100816</x:v>
      </x:c>
      <x:c r="K145" s="5" t="inlineStr">
        <x:is>
          <x:t xml:space="preserve">Active</x:t>
        </x:is>
      </x:c>
      <x:c r="L145" s="5" t="inlineStr">
        <x:is>
          <x:t xml:space="preserve">Pending</x:t>
        </x:is>
      </x:c>
      <x:c r="M145" s="9" t="n">
        <x:v>19</x:v>
      </x:c>
      <x:c r="N145" s="9" t="n">
        <x:v>1</x:v>
      </x:c>
      <x:c r="O145" s="5" t="inlineStr">
        <x:is>
          <x:t xml:space="preserve">Processed</x:t>
        </x:is>
      </x:c>
    </x:row>
    <x:row r="146">
      <x:c r="A146" s="5" t="inlineStr">
        <x:is>
          <x:t xml:space="preserve">EMP81781</x:t>
        </x:is>
      </x:c>
      <x:c r="B146" s="6" t="inlineStr">
        <x:is>
          <x:t xml:space="preserve">Henry Patel</x:t>
        </x:is>
      </x:c>
      <x:c r="C146" s="6" t="inlineStr">
        <x:is>
          <x:t xml:space="preserve">Tax Support</x:t>
        </x:is>
      </x:c>
      <x:c r="D146" s="5" t="inlineStr">
        <x:is>
          <x:t xml:space="preserve">Mumbai</x:t>
        </x:is>
      </x:c>
      <x:c r="E146" s="36" t="n">
        <x:v>44740</x:v>
      </x:c>
      <x:c r="F146" s="37" t="n">
        <x:v>56101</x:v>
      </x:c>
      <x:c r="G146" s="37" t="n">
        <x:v>22440</x:v>
      </x:c>
      <x:c r="H146" s="37" t="n">
        <x:v>2500</x:v>
      </x:c>
      <x:c r="I146" s="37" t="n">
        <x:v>6572</x:v>
      </x:c>
      <x:c r="J146" s="37" t="n">
        <x:v>74469</x:v>
      </x:c>
      <x:c r="K146" s="5" t="inlineStr">
        <x:is>
          <x:t xml:space="preserve">Verified</x:t>
        </x:is>
      </x:c>
      <x:c r="L146" s="5" t="inlineStr">
        <x:is>
          <x:t xml:space="preserve">Pending</x:t>
        </x:is>
      </x:c>
      <x:c r="M146" s="9" t="n">
        <x:v>19</x:v>
      </x:c>
      <x:c r="N146" s="9" t="n">
        <x:v>8</x:v>
      </x:c>
      <x:c r="O146" s="5" t="inlineStr">
        <x:is>
          <x:t xml:space="preserve">Processed</x:t>
        </x:is>
      </x:c>
    </x:row>
    <x:row r="147">
      <x:c r="A147" s="5" t="inlineStr">
        <x:is>
          <x:t xml:space="preserve">EMP17292</x:t>
        </x:is>
      </x:c>
      <x:c r="B147" s="6" t="inlineStr">
        <x:is>
          <x:t xml:space="preserve">Vikram Desai</x:t>
        </x:is>
      </x:c>
      <x:c r="C147" s="6" t="inlineStr">
        <x:is>
          <x:t xml:space="preserve">Tax Support</x:t>
        </x:is>
      </x:c>
      <x:c r="D147" s="5" t="inlineStr">
        <x:is>
          <x:t xml:space="preserve">Noida</x:t>
        </x:is>
      </x:c>
      <x:c r="E147" s="36" t="n">
        <x:v>45567</x:v>
      </x:c>
      <x:c r="F147" s="37" t="n">
        <x:v>58621</x:v>
      </x:c>
      <x:c r="G147" s="37" t="n">
        <x:v>23448</x:v>
      </x:c>
      <x:c r="H147" s="37" t="n">
        <x:v>6000</x:v>
      </x:c>
      <x:c r="I147" s="37" t="n">
        <x:v>6925</x:v>
      </x:c>
      <x:c r="J147" s="37" t="n">
        <x:v>81144</x:v>
      </x:c>
      <x:c r="K147" s="5" t="inlineStr">
        <x:is>
          <x:t xml:space="preserve">Verified</x:t>
        </x:is>
      </x:c>
      <x:c r="L147" s="5" t="inlineStr">
        <x:is>
          <x:t xml:space="preserve">Pending</x:t>
        </x:is>
      </x:c>
      <x:c r="M147" s="9" t="n">
        <x:v>22</x:v>
      </x:c>
      <x:c r="N147" s="9" t="n">
        <x:v>0</x:v>
      </x:c>
      <x:c r="O147" s="5" t="inlineStr">
        <x:is>
          <x:t xml:space="preserve">Processed</x:t>
        </x:is>
      </x:c>
    </x:row>
    <x:row r="148">
      <x:c r="A148" s="5" t="inlineStr">
        <x:is>
          <x:t xml:space="preserve">EMP85800</x:t>
        </x:is>
      </x:c>
      <x:c r="B148" s="6" t="inlineStr">
        <x:is>
          <x:t xml:space="preserve">Ananya Bose</x:t>
        </x:is>
      </x:c>
      <x:c r="C148" s="6" t="inlineStr">
        <x:is>
          <x:t xml:space="preserve">Risk Advisory</x:t>
        </x:is>
      </x:c>
      <x:c r="D148" s="5" t="inlineStr">
        <x:is>
          <x:t xml:space="preserve">Gurgaon</x:t>
        </x:is>
      </x:c>
      <x:c r="E148" s="36" t="n">
        <x:v>44441</x:v>
      </x:c>
      <x:c r="F148" s="37" t="n">
        <x:v>26523</x:v>
      </x:c>
      <x:c r="G148" s="37" t="n">
        <x:v>10609</x:v>
      </x:c>
      <x:c r="H148" s="37" t="n">
        <x:v>1500</x:v>
      </x:c>
      <x:c r="I148" s="37" t="n">
        <x:v>3351</x:v>
      </x:c>
      <x:c r="J148" s="37" t="n">
        <x:v>35281</x:v>
      </x:c>
      <x:c r="K148" s="5" t="inlineStr">
        <x:is>
          <x:t xml:space="preserve">Active</x:t>
        </x:is>
      </x:c>
      <x:c r="L148" s="5" t="inlineStr">
        <x:is>
          <x:t xml:space="preserve">Verified</x:t>
        </x:is>
      </x:c>
      <x:c r="M148" s="9" t="n">
        <x:v>30</x:v>
      </x:c>
      <x:c r="N148" s="9" t="n">
        <x:v>0</x:v>
      </x:c>
      <x:c r="O148" s="5" t="inlineStr">
        <x:is>
          <x:t xml:space="preserve">Pending</x:t>
        </x:is>
      </x:c>
    </x:row>
    <x:row r="149">
      <x:c r="A149" s="5" t="inlineStr">
        <x:is>
          <x:t xml:space="preserve">EMP94656</x:t>
        </x:is>
      </x:c>
      <x:c r="B149" s="6" t="inlineStr">
        <x:is>
          <x:t xml:space="preserve">Rohan Kumar</x:t>
        </x:is>
      </x:c>
      <x:c r="C149" s="6" t="inlineStr">
        <x:is>
          <x:t xml:space="preserve">Risk Advisory</x:t>
        </x:is>
      </x:c>
      <x:c r="D149" s="5" t="inlineStr">
        <x:is>
          <x:t xml:space="preserve">Kolkata</x:t>
        </x:is>
      </x:c>
      <x:c r="E149" s="36" t="n">
        <x:v>45476</x:v>
      </x:c>
      <x:c r="F149" s="37" t="n">
        <x:v>66743</x:v>
      </x:c>
      <x:c r="G149" s="37" t="n">
        <x:v>30034</x:v>
      </x:c>
      <x:c r="H149" s="37" t="n">
        <x:v>3000</x:v>
      </x:c>
      <x:c r="I149" s="37" t="n">
        <x:v>-1016</x:v>
      </x:c>
      <x:c r="J149" s="37" t="n">
        <x:v>100793</x:v>
      </x:c>
      <x:c r="K149" s="5" t="inlineStr">
        <x:is>
          <x:t xml:space="preserve">Active</x:t>
        </x:is>
      </x:c>
      <x:c r="L149" s="5" t="inlineStr">
        <x:is>
          <x:t xml:space="preserve">Verified</x:t>
        </x:is>
      </x:c>
      <x:c r="M149" s="9" t="n">
        <x:v>20</x:v>
      </x:c>
      <x:c r="N149" s="9" t="n">
        <x:v>8</x:v>
      </x:c>
      <x:c r="O149" s="5" t="inlineStr">
        <x:is>
          <x:t xml:space="preserve">Processed</x:t>
        </x:is>
      </x:c>
    </x:row>
    <x:row r="150">
      <x:c r="A150" s="5" t="inlineStr">
        <x:is>
          <x:t xml:space="preserve">EMP26691</x:t>
        </x:is>
      </x:c>
      <x:c r="B150" s="6" t="inlineStr">
        <x:is>
          <x:t xml:space="preserve">James Thomas</x:t>
        </x:is>
      </x:c>
      <x:c r="C150" s="6" t="inlineStr">
        <x:is>
          <x:t xml:space="preserve">Payroll Ops</x:t>
        </x:is>
      </x:c>
      <x:c r="D150" s="5" t="inlineStr">
        <x:is>
          <x:t xml:space="preserve">Hyderabad</x:t>
        </x:is>
      </x:c>
      <x:c r="E150" s="36" t="n">
        <x:v>45160</x:v>
      </x:c>
      <x:c r="F150" s="37" t="n">
        <x:v>69126</x:v>
      </x:c>
      <x:c r="G150" s="37" t="n">
        <x:v>31107</x:v>
      </x:c>
      <x:c r="H150" s="37" t="n">
        <x:v>9000</x:v>
      </x:c>
      <x:c r="I150" s="37" t="n">
        <x:v>5357</x:v>
      </x:c>
      <x:c r="J150" s="37" t="n">
        <x:v>103876</x:v>
      </x:c>
      <x:c r="K150" s="5" t="inlineStr">
        <x:is>
          <x:t xml:space="preserve">Active</x:t>
        </x:is>
      </x:c>
      <x:c r="L150" s="5" t="inlineStr">
        <x:is>
          <x:t xml:space="preserve">Verified</x:t>
        </x:is>
      </x:c>
      <x:c r="M150" s="9" t="n">
        <x:v>21</x:v>
      </x:c>
      <x:c r="N150" s="9" t="n">
        <x:v>7</x:v>
      </x:c>
      <x:c r="O150" s="5" t="inlineStr">
        <x:is>
          <x:t xml:space="preserve">Processed</x:t>
        </x:is>
      </x:c>
    </x:row>
    <x:row r="151">
      <x:c r="A151" s="5" t="inlineStr">
        <x:is>
          <x:t xml:space="preserve">EMP46129</x:t>
        </x:is>
      </x:c>
      <x:c r="B151" s="6" t="inlineStr">
        <x:is>
          <x:t xml:space="preserve">Henry White</x:t>
        </x:is>
      </x:c>
      <x:c r="C151" s="6" t="inlineStr">
        <x:is>
          <x:t xml:space="preserve">HR Shared Services</x:t>
        </x:is>
      </x:c>
      <x:c r="D151" s="5" t="inlineStr">
        <x:is>
          <x:t xml:space="preserve">Hyderabad</x:t>
        </x:is>
      </x:c>
      <x:c r="E151" s="36" t="n">
        <x:v>45590</x:v>
      </x:c>
      <x:c r="F151" s="37" t="n">
        <x:v>23025</x:v>
      </x:c>
      <x:c r="G151" s="37" t="n">
        <x:v>8059</x:v>
      </x:c>
      <x:c r="H151" s="37" t="n">
        <x:v>4500</x:v>
      </x:c>
      <x:c r="I151" s="37" t="n">
        <x:v>1551</x:v>
      </x:c>
      <x:c r="J151" s="37" t="n">
        <x:v>34033</x:v>
      </x:c>
      <x:c r="K151" s="5" t="inlineStr">
        <x:is>
          <x:t xml:space="preserve">Verified</x:t>
        </x:is>
      </x:c>
      <x:c r="L151" s="5" t="inlineStr">
        <x:is>
          <x:t xml:space="preserve">Verified</x:t>
        </x:is>
      </x:c>
      <x:c r="M151" s="9" t="n">
        <x:v>25</x:v>
      </x:c>
      <x:c r="N151" s="9" t="n">
        <x:v>4</x:v>
      </x:c>
      <x:c r="O151" s="5" t="inlineStr">
        <x:is>
          <x:t xml:space="preserve">Processed</x:t>
        </x:is>
      </x:c>
    </x:row>
    <x:row r="152">
      <x:c r="A152" s="5" t="inlineStr">
        <x:is>
          <x:t xml:space="preserve">EMP16380</x:t>
        </x:is>
      </x:c>
      <x:c r="B152" s="6" t="inlineStr">
        <x:is>
          <x:t xml:space="preserve">Kavya Sharma</x:t>
        </x:is>
      </x:c>
      <x:c r="C152" s="6" t="inlineStr">
        <x:is>
          <x:t xml:space="preserve">Payroll Ops</x:t>
        </x:is>
      </x:c>
      <x:c r="D152" s="5" t="inlineStr">
        <x:is>
          <x:t xml:space="preserve">Noida</x:t>
        </x:is>
      </x:c>
      <x:c r="E152" s="36" t="n">
        <x:v>45400</x:v>
      </x:c>
      <x:c r="F152" s="37" t="n">
        <x:v>36238</x:v>
      </x:c>
      <x:c r="G152" s="37" t="n">
        <x:v>12683</x:v>
      </x:c>
      <x:c r="H152" s="37" t="n">
        <x:v>3000</x:v>
      </x:c>
      <x:c r="I152" s="37" t="n">
        <x:v>5127</x:v>
      </x:c>
      <x:c r="J152" s="37" t="n">
        <x:v>46794</x:v>
      </x:c>
      <x:c r="K152" s="5" t="inlineStr">
        <x:is>
          <x:t xml:space="preserve">Active</x:t>
        </x:is>
      </x:c>
      <x:c r="L152" s="5" t="inlineStr">
        <x:is>
          <x:t xml:space="preserve">Verified</x:t>
        </x:is>
      </x:c>
      <x:c r="M152" s="9" t="n">
        <x:v>31</x:v>
      </x:c>
      <x:c r="N152" s="9" t="n">
        <x:v>0</x:v>
      </x:c>
      <x:c r="O152" s="5" t="inlineStr">
        <x:is>
          <x:t xml:space="preserve">Processed</x:t>
        </x:is>
      </x:c>
    </x:row>
    <x:row r="153">
      <x:c r="A153" s="5" t="inlineStr">
        <x:is>
          <x:t xml:space="preserve">EMP98150</x:t>
        </x:is>
      </x:c>
      <x:c r="B153" s="6" t="inlineStr">
        <x:is>
          <x:t xml:space="preserve">Mohammed Iyer</x:t>
        </x:is>
      </x:c>
      <x:c r="C153" s="6" t="inlineStr">
        <x:is>
          <x:t xml:space="preserve">Talent Ops</x:t>
        </x:is>
      </x:c>
      <x:c r="D153" s="5" t="inlineStr">
        <x:is>
          <x:t xml:space="preserve">Mumbai</x:t>
        </x:is>
      </x:c>
      <x:c r="E153" s="36" t="n">
        <x:v>44752</x:v>
      </x:c>
      <x:c r="F153" s="37" t="n">
        <x:v>40032</x:v>
      </x:c>
      <x:c r="G153" s="37" t="n">
        <x:v>14011</x:v>
      </x:c>
      <x:c r="H153" s="37" t="n">
        <x:v>3000</x:v>
      </x:c>
      <x:c r="I153" s="37" t="n">
        <x:v>6128</x:v>
      </x:c>
      <x:c r="J153" s="37" t="n">
        <x:v>50915</x:v>
      </x:c>
      <x:c r="K153" s="5" t="inlineStr">
        <x:is>
          <x:t xml:space="preserve">Pending Verification</x:t>
        </x:is>
      </x:c>
      <x:c r="L153" s="5" t="inlineStr">
        <x:is>
          <x:t xml:space="preserve">Pending</x:t>
        </x:is>
      </x:c>
      <x:c r="M153" s="9" t="n">
        <x:v>26</x:v>
      </x:c>
      <x:c r="N153" s="9" t="n">
        <x:v>3</x:v>
      </x:c>
      <x:c r="O153" s="5" t="inlineStr">
        <x:is>
          <x:t xml:space="preserve">Processed</x:t>
        </x:is>
      </x:c>
    </x:row>
    <x:row r="154">
      <x:c r="A154" s="5" t="inlineStr">
        <x:is>
          <x:t xml:space="preserve">EMP55143</x:t>
        </x:is>
      </x:c>
      <x:c r="B154" s="6" t="inlineStr">
        <x:is>
          <x:t xml:space="preserve">Priya Taylor</x:t>
        </x:is>
      </x:c>
      <x:c r="C154" s="6" t="inlineStr">
        <x:is>
          <x:t xml:space="preserve">Tax Support</x:t>
        </x:is>
      </x:c>
      <x:c r="D154" s="5" t="inlineStr">
        <x:is>
          <x:t xml:space="preserve">Gurgaon</x:t>
        </x:is>
      </x:c>
      <x:c r="E154" s="36" t="n">
        <x:v>45478</x:v>
      </x:c>
      <x:c r="F154" s="37" t="n">
        <x:v>41653</x:v>
      </x:c>
      <x:c r="G154" s="37" t="n">
        <x:v>16661</x:v>
      </x:c>
      <x:c r="H154" s="37" t="n">
        <x:v>3000</x:v>
      </x:c>
      <x:c r="I154" s="37" t="n">
        <x:v>7180</x:v>
      </x:c>
      <x:c r="J154" s="37" t="n">
        <x:v>54134</x:v>
      </x:c>
      <x:c r="K154" s="5" t="inlineStr">
        <x:is>
          <x:t xml:space="preserve">Pending Verification</x:t>
        </x:is>
      </x:c>
      <x:c r="L154" s="5" t="inlineStr">
        <x:is>
          <x:t xml:space="preserve">Pending</x:t>
        </x:is>
      </x:c>
      <x:c r="M154" s="9" t="n">
        <x:v>21</x:v>
      </x:c>
      <x:c r="N154" s="9" t="n">
        <x:v>3</x:v>
      </x:c>
      <x:c r="O154" s="5" t="inlineStr">
        <x:is>
          <x:t xml:space="preserve">Processed</x:t>
        </x:is>
      </x:c>
    </x:row>
    <x:row r="155">
      <x:c r="A155" s="5" t="inlineStr">
        <x:is>
          <x:t xml:space="preserve">EMP28920</x:t>
        </x:is>
      </x:c>
      <x:c r="B155" s="6" t="inlineStr">
        <x:is>
          <x:t xml:space="preserve">Vikram White</x:t>
        </x:is>
      </x:c>
      <x:c r="C155" s="6" t="inlineStr">
        <x:is>
          <x:t xml:space="preserve">Payroll Ops</x:t>
        </x:is>
      </x:c>
      <x:c r="D155" s="5" t="inlineStr">
        <x:is>
          <x:t xml:space="preserve">Noida</x:t>
        </x:is>
      </x:c>
      <x:c r="E155" s="36" t="n">
        <x:v>45552</x:v>
      </x:c>
      <x:c r="F155" s="37" t="n">
        <x:v>30787</x:v>
      </x:c>
      <x:c r="G155" s="37" t="n">
        <x:v>12315</x:v>
      </x:c>
      <x:c r="H155" s="37" t="n">
        <x:v>4500</x:v>
      </x:c>
      <x:c r="I155" s="37" t="n">
        <x:v>3088</x:v>
      </x:c>
      <x:c r="J155" s="37" t="n">
        <x:v>44514</x:v>
      </x:c>
      <x:c r="K155" s="5" t="inlineStr">
        <x:is>
          <x:t xml:space="preserve">Verified</x:t>
        </x:is>
      </x:c>
      <x:c r="L155" s="5" t="inlineStr">
        <x:is>
          <x:t xml:space="preserve">Pending</x:t>
        </x:is>
      </x:c>
      <x:c r="M155" s="9" t="n">
        <x:v>28</x:v>
      </x:c>
      <x:c r="N155" s="9" t="n">
        <x:v>0</x:v>
      </x:c>
      <x:c r="O155" s="5" t="inlineStr">
        <x:is>
          <x:t xml:space="preserve">Pending</x:t>
        </x:is>
      </x:c>
    </x:row>
    <x:row r="156">
      <x:c r="A156" s="5" t="inlineStr">
        <x:is>
          <x:t xml:space="preserve">EMP58637</x:t>
        </x:is>
      </x:c>
      <x:c r="B156" s="6" t="inlineStr">
        <x:is>
          <x:t xml:space="preserve">Arjun Nair</x:t>
        </x:is>
      </x:c>
      <x:c r="C156" s="6" t="inlineStr">
        <x:is>
          <x:t xml:space="preserve">Benefits Team</x:t>
        </x:is>
      </x:c>
      <x:c r="D156" s="5" t="inlineStr">
        <x:is>
          <x:t xml:space="preserve">Hyderabad</x:t>
        </x:is>
      </x:c>
      <x:c r="E156" s="36" t="n">
        <x:v>45129</x:v>
      </x:c>
      <x:c r="F156" s="37" t="n">
        <x:v>61647</x:v>
      </x:c>
      <x:c r="G156" s="37" t="n">
        <x:v>27741</x:v>
      </x:c>
      <x:c r="H156" s="37" t="n">
        <x:v>1500</x:v>
      </x:c>
      <x:c r="I156" s="37" t="n">
        <x:v>1596</x:v>
      </x:c>
      <x:c r="J156" s="37" t="n">
        <x:v>89292</x:v>
      </x:c>
      <x:c r="K156" s="5" t="inlineStr">
        <x:is>
          <x:t xml:space="preserve">Verified</x:t>
        </x:is>
      </x:c>
      <x:c r="L156" s="5" t="inlineStr">
        <x:is>
          <x:t xml:space="preserve">Verified</x:t>
        </x:is>
      </x:c>
      <x:c r="M156" s="9" t="n">
        <x:v>25</x:v>
      </x:c>
      <x:c r="N156" s="9" t="n">
        <x:v>1</x:v>
      </x:c>
      <x:c r="O156" s="5" t="inlineStr">
        <x:is>
          <x:t xml:space="preserve">Pending</x:t>
        </x:is>
      </x:c>
    </x:row>
    <x:row r="157">
      <x:c r="A157" s="5" t="inlineStr">
        <x:is>
          <x:t xml:space="preserve">EMP53642</x:t>
        </x:is>
      </x:c>
      <x:c r="B157" s="6" t="inlineStr">
        <x:is>
          <x:t xml:space="preserve">Meera White</x:t>
        </x:is>
      </x:c>
      <x:c r="C157" s="6" t="inlineStr">
        <x:is>
          <x:t xml:space="preserve">Payroll Ops</x:t>
        </x:is>
      </x:c>
      <x:c r="D157" s="5" t="inlineStr">
        <x:is>
          <x:t xml:space="preserve">Pune</x:t>
        </x:is>
      </x:c>
      <x:c r="E157" s="36" t="n">
        <x:v>44899</x:v>
      </x:c>
      <x:c r="F157" s="37" t="n">
        <x:v>70947</x:v>
      </x:c>
      <x:c r="G157" s="37" t="n">
        <x:v>28379</x:v>
      </x:c>
      <x:c r="H157" s="37" t="n">
        <x:v>4500</x:v>
      </x:c>
      <x:c r="I157" s="37" t="n">
        <x:v>6698</x:v>
      </x:c>
      <x:c r="J157" s="37" t="n">
        <x:v>97128</x:v>
      </x:c>
      <x:c r="K157" s="5" t="inlineStr">
        <x:is>
          <x:t xml:space="preserve">Pending Verification</x:t>
        </x:is>
      </x:c>
      <x:c r="L157" s="5" t="inlineStr">
        <x:is>
          <x:t xml:space="preserve">Verified</x:t>
        </x:is>
      </x:c>
      <x:c r="M157" s="9" t="n">
        <x:v>24</x:v>
      </x:c>
      <x:c r="N157" s="9" t="n">
        <x:v>3</x:v>
      </x:c>
      <x:c r="O157" s="5" t="inlineStr">
        <x:is>
          <x:t xml:space="preserve">Processed</x:t>
        </x:is>
      </x:c>
    </x:row>
    <x:row r="158">
      <x:c r="A158" s="5" t="inlineStr">
        <x:is>
          <x:t xml:space="preserve">EMP47101</x:t>
        </x:is>
      </x:c>
      <x:c r="B158" s="6" t="inlineStr">
        <x:is>
          <x:t xml:space="preserve">Priya Mehta</x:t>
        </x:is>
      </x:c>
      <x:c r="C158" s="6" t="inlineStr">
        <x:is>
          <x:t xml:space="preserve">Tax Support</x:t>
        </x:is>
      </x:c>
      <x:c r="D158" s="5" t="inlineStr">
        <x:is>
          <x:t xml:space="preserve">Gurgaon</x:t>
        </x:is>
      </x:c>
      <x:c r="E158" s="36" t="n">
        <x:v>45058</x:v>
      </x:c>
      <x:c r="F158" s="37" t="n">
        <x:v>55607</x:v>
      </x:c>
      <x:c r="G158" s="37" t="n">
        <x:v>22243</x:v>
      </x:c>
      <x:c r="H158" s="37" t="n">
        <x:v>12000</x:v>
      </x:c>
      <x:c r="I158" s="37" t="n">
        <x:v>1807</x:v>
      </x:c>
      <x:c r="J158" s="37" t="n">
        <x:v>88043</x:v>
      </x:c>
      <x:c r="K158" s="5" t="inlineStr">
        <x:is>
          <x:t xml:space="preserve">Pending Verification</x:t>
        </x:is>
      </x:c>
      <x:c r="L158" s="5" t="n"/>
      <x:c r="M158" s="9" t="n">
        <x:v>30</x:v>
      </x:c>
      <x:c r="N158" s="9" t="n">
        <x:v>1</x:v>
      </x:c>
      <x:c r="O158" s="5" t="inlineStr">
        <x:is>
          <x:t xml:space="preserve">Pending</x:t>
        </x:is>
      </x:c>
    </x:row>
    <x:row r="159">
      <x:c r="A159" s="5" t="inlineStr">
        <x:is>
          <x:t xml:space="preserve">EMP58589</x:t>
        </x:is>
      </x:c>
      <x:c r="B159" s="6" t="inlineStr">
        <x:is>
          <x:t xml:space="preserve">Mohammed Martin</x:t>
        </x:is>
      </x:c>
      <x:c r="C159" s="6" t="inlineStr">
        <x:is>
          <x:t xml:space="preserve">Payroll Ops</x:t>
        </x:is>
      </x:c>
      <x:c r="D159" s="5" t="inlineStr">
        <x:is>
          <x:t xml:space="preserve">Pune</x:t>
        </x:is>
      </x:c>
      <x:c r="E159" s="36" t="n">
        <x:v>44570</x:v>
      </x:c>
      <x:c r="F159" s="37" t="n">
        <x:v>58261</x:v>
      </x:c>
      <x:c r="G159" s="37" t="n">
        <x:v>26217</x:v>
      </x:c>
      <x:c r="H159" s="37" t="n">
        <x:v>9000</x:v>
      </x:c>
      <x:c r="I159" s="37" t="n">
        <x:v>3418</x:v>
      </x:c>
      <x:c r="J159" s="37" t="n">
        <x:v>90060</x:v>
      </x:c>
      <x:c r="K159" s="5" t="inlineStr">
        <x:is>
          <x:t xml:space="preserve">Verified</x:t>
        </x:is>
      </x:c>
      <x:c r="L159" s="5" t="inlineStr">
        <x:is>
          <x:t xml:space="preserve">Verified</x:t>
        </x:is>
      </x:c>
      <x:c r="M159" s="9" t="n">
        <x:v>23</x:v>
      </x:c>
      <x:c r="N159" s="9" t="n">
        <x:v>3</x:v>
      </x:c>
      <x:c r="O159" s="5" t="inlineStr">
        <x:is>
          <x:t xml:space="preserve">Processed</x:t>
        </x:is>
      </x:c>
    </x:row>
    <x:row r="160">
      <x:c r="A160" s="5" t="inlineStr">
        <x:is>
          <x:t xml:space="preserve">EMP42208</x:t>
        </x:is>
      </x:c>
      <x:c r="B160" s="6" t="inlineStr">
        <x:is>
          <x:t xml:space="preserve">Charlotte Nair</x:t>
        </x:is>
      </x:c>
      <x:c r="C160" s="6" t="inlineStr">
        <x:is>
          <x:t xml:space="preserve">IT Support</x:t>
        </x:is>
      </x:c>
      <x:c r="D160" s="5" t="inlineStr">
        <x:is>
          <x:t xml:space="preserve">Chennai</x:t>
        </x:is>
      </x:c>
      <x:c r="E160" s="36" t="n">
        <x:v>45647</x:v>
      </x:c>
      <x:c r="F160" s="37" t="n">
        <x:v>70470</x:v>
      </x:c>
      <x:c r="G160" s="37" t="n">
        <x:v>28188</x:v>
      </x:c>
      <x:c r="H160" s="37" t="n">
        <x:v>12000</x:v>
      </x:c>
      <x:c r="I160" s="37" t="n">
        <x:v>2378</x:v>
      </x:c>
      <x:c r="J160" s="37" t="n">
        <x:v>110780</x:v>
      </x:c>
      <x:c r="K160" s="5" t="inlineStr">
        <x:is>
          <x:t xml:space="preserve">Pending Verification</x:t>
        </x:is>
      </x:c>
      <x:c r="L160" s="5" t="inlineStr">
        <x:is>
          <x:t xml:space="preserve">Pending</x:t>
        </x:is>
      </x:c>
      <x:c r="M160" s="9" t="n">
        <x:v>20</x:v>
      </x:c>
      <x:c r="N160" s="9" t="n">
        <x:v>2</x:v>
      </x:c>
      <x:c r="O160" s="5" t="inlineStr">
        <x:is>
          <x:t xml:space="preserve">Processed</x:t>
        </x:is>
      </x:c>
    </x:row>
    <x:row r="161">
      <x:c r="A161" s="5" t="inlineStr">
        <x:is>
          <x:t xml:space="preserve">EMP74004</x:t>
        </x:is>
      </x:c>
      <x:c r="B161" s="6" t="inlineStr">
        <x:is>
          <x:t xml:space="preserve">Fatima White</x:t>
        </x:is>
      </x:c>
      <x:c r="C161" s="6" t="inlineStr">
        <x:is>
          <x:t xml:space="preserve">Tax Support</x:t>
        </x:is>
      </x:c>
      <x:c r="D161" s="5" t="inlineStr">
        <x:is>
          <x:t xml:space="preserve">Hyderabad</x:t>
        </x:is>
      </x:c>
      <x:c r="E161" s="36" t="n">
        <x:v>44254</x:v>
      </x:c>
      <x:c r="F161" s="37" t="inlineStr">
        <x:is>
          <x:t xml:space="preserve">TBD</x:t>
        </x:is>
      </x:c>
      <x:c r="G161" s="37" t="n">
        <x:v>23027</x:v>
      </x:c>
      <x:c r="H161" s="37" t="n">
        <x:v>1500</x:v>
      </x:c>
      <x:c r="I161" s="37" t="n">
        <x:v>4378</x:v>
      </x:c>
      <x:c r="J161" s="37" t="n">
        <x:v>62452</x:v>
      </x:c>
      <x:c r="K161" s="5" t="inlineStr">
        <x:is>
          <x:t xml:space="preserve">Verified</x:t>
        </x:is>
      </x:c>
      <x:c r="L161" s="5" t="inlineStr">
        <x:is>
          <x:t xml:space="preserve">Verified</x:t>
        </x:is>
      </x:c>
      <x:c r="M161" s="9" t="n">
        <x:v>19</x:v>
      </x:c>
      <x:c r="N161" s="9" t="n">
        <x:v>2</x:v>
      </x:c>
      <x:c r="O161" s="5" t="inlineStr">
        <x:is>
          <x:t xml:space="preserve">Processed</x:t>
        </x:is>
      </x:c>
    </x:row>
    <x:row r="162">
      <x:c r="A162" s="5" t="inlineStr">
        <x:is>
          <x:t xml:space="preserve">EMP76287</x:t>
        </x:is>
      </x:c>
      <x:c r="B162" s="6" t="inlineStr">
        <x:is>
          <x:t xml:space="preserve">Vikram Kumar</x:t>
        </x:is>
      </x:c>
      <x:c r="C162" s="6" t="inlineStr">
        <x:is>
          <x:t xml:space="preserve">Payroll Ops</x:t>
        </x:is>
      </x:c>
      <x:c r="D162" s="5" t="inlineStr">
        <x:is>
          <x:t xml:space="preserve">Kolkata</x:t>
        </x:is>
      </x:c>
      <x:c r="E162" s="36" t="n">
        <x:v>45292</x:v>
      </x:c>
      <x:c r="F162" s="37" t="n">
        <x:v>56879</x:v>
      </x:c>
      <x:c r="G162" s="37" t="n">
        <x:v>25596</x:v>
      </x:c>
      <x:c r="H162" s="37" t="n">
        <x:v>9000</x:v>
      </x:c>
      <x:c r="I162" s="37" t="n">
        <x:v>1097</x:v>
      </x:c>
      <x:c r="J162" s="37" t="n">
        <x:v>90378</x:v>
      </x:c>
      <x:c r="K162" s="5" t="inlineStr">
        <x:is>
          <x:t xml:space="preserve">Verified</x:t>
        </x:is>
      </x:c>
      <x:c r="L162" s="5" t="n"/>
      <x:c r="M162" s="9" t="n">
        <x:v>26</x:v>
      </x:c>
      <x:c r="N162" s="9" t="n">
        <x:v>2</x:v>
      </x:c>
      <x:c r="O162" s="5" t="inlineStr">
        <x:is>
          <x:t xml:space="preserve">Processed</x:t>
        </x:is>
      </x:c>
    </x:row>
    <x:row r="163">
      <x:c r="A163" s="5" t="inlineStr">
        <x:is>
          <x:t xml:space="preserve">EMP98346</x:t>
        </x:is>
      </x:c>
      <x:c r="B163" s="6" t="inlineStr">
        <x:is>
          <x:t xml:space="preserve">Sneha Taylor</x:t>
        </x:is>
      </x:c>
      <x:c r="C163" s="6" t="inlineStr">
        <x:is>
          <x:t xml:space="preserve">Finance Ops</x:t>
        </x:is>
      </x:c>
      <x:c r="D163" s="5" t="inlineStr">
        <x:is>
          <x:t xml:space="preserve">Bengaluru</x:t>
        </x:is>
      </x:c>
      <x:c r="E163" s="36" t="n">
        <x:v>44444</x:v>
      </x:c>
      <x:c r="F163" s="37" t="n">
        <x:v>37792</x:v>
      </x:c>
      <x:c r="G163" s="37" t="n">
        <x:v>13227</x:v>
      </x:c>
      <x:c r="H163" s="37" t="n">
        <x:v>6000</x:v>
      </x:c>
      <x:c r="I163" s="37" t="n">
        <x:v>7678</x:v>
      </x:c>
      <x:c r="J163" s="37" t="n">
        <x:v>49341</x:v>
      </x:c>
      <x:c r="K163" s="5" t="inlineStr">
        <x:is>
          <x:t xml:space="preserve">Active</x:t>
        </x:is>
      </x:c>
      <x:c r="L163" s="5" t="inlineStr">
        <x:is>
          <x:t xml:space="preserve">Pending</x:t>
        </x:is>
      </x:c>
      <x:c r="M163" s="9" t="n">
        <x:v>30</x:v>
      </x:c>
      <x:c r="N163" s="9" t="n">
        <x:v>16</x:v>
      </x:c>
      <x:c r="O163" s="5" t="inlineStr">
        <x:is>
          <x:t xml:space="preserve">Processed</x:t>
        </x:is>
      </x:c>
    </x:row>
    <x:row r="164">
      <x:c r="A164" s="5" t="inlineStr">
        <x:is>
          <x:t xml:space="preserve">EMP63218</x:t>
        </x:is>
      </x:c>
      <x:c r="B164" s="6" t="inlineStr">
        <x:is>
          <x:t xml:space="preserve">Vikram Patel</x:t>
        </x:is>
      </x:c>
      <x:c r="C164" s="6" t="inlineStr">
        <x:is>
          <x:t xml:space="preserve">Benefits Team</x:t>
        </x:is>
      </x:c>
      <x:c r="D164" s="5" t="inlineStr">
        <x:is>
          <x:t xml:space="preserve">Pune</x:t>
        </x:is>
      </x:c>
      <x:c r="E164" s="36" t="n">
        <x:v>45257</x:v>
      </x:c>
      <x:c r="F164" s="37" t="n">
        <x:v>77565</x:v>
      </x:c>
      <x:c r="G164" s="37" t="n">
        <x:v>27148</x:v>
      </x:c>
      <x:c r="H164" s="37" t="n">
        <x:v>1500</x:v>
      </x:c>
      <x:c r="I164" s="37" t="n">
        <x:v>1765</x:v>
      </x:c>
      <x:c r="J164" s="37" t="n">
        <x:v>104448</x:v>
      </x:c>
      <x:c r="K164" s="5" t="inlineStr">
        <x:is>
          <x:t xml:space="preserve">Active</x:t>
        </x:is>
      </x:c>
      <x:c r="L164" s="5" t="inlineStr">
        <x:is>
          <x:t xml:space="preserve">Pending</x:t>
        </x:is>
      </x:c>
      <x:c r="M164" s="9" t="n">
        <x:v>24</x:v>
      </x:c>
      <x:c r="N164" s="9" t="n">
        <x:v>7</x:v>
      </x:c>
      <x:c r="O164" s="5" t="inlineStr">
        <x:is>
          <x:t xml:space="preserve">Processed</x:t>
        </x:is>
      </x:c>
    </x:row>
    <x:row r="165">
      <x:c r="A165" s="5" t="inlineStr">
        <x:is>
          <x:t xml:space="preserve">EMP11238</x:t>
        </x:is>
      </x:c>
      <x:c r="B165" s="6" t="inlineStr">
        <x:is>
          <x:t xml:space="preserve">Ethan Brown</x:t>
        </x:is>
      </x:c>
      <x:c r="C165" s="6" t="inlineStr">
        <x:is>
          <x:t xml:space="preserve">Audit Support</x:t>
        </x:is>
      </x:c>
      <x:c r="D165" s="5" t="inlineStr">
        <x:is>
          <x:t xml:space="preserve">Noida</x:t>
        </x:is>
      </x:c>
      <x:c r="E165" s="36" t="n">
        <x:v>45227</x:v>
      </x:c>
      <x:c r="F165" s="37" t="n">
        <x:v>28249</x:v>
      </x:c>
      <x:c r="G165" s="37" t="n">
        <x:v>12712</x:v>
      </x:c>
      <x:c r="H165" s="37" t="n">
        <x:v>1500</x:v>
      </x:c>
      <x:c r="I165" s="37" t="n">
        <x:v>2882</x:v>
      </x:c>
      <x:c r="J165" s="37" t="n">
        <x:v>39579</x:v>
      </x:c>
      <x:c r="K165" s="5" t="inlineStr">
        <x:is>
          <x:t xml:space="preserve">Verified</x:t>
        </x:is>
      </x:c>
      <x:c r="L165" s="5" t="inlineStr">
        <x:is>
          <x:t xml:space="preserve">Pending</x:t>
        </x:is>
      </x:c>
      <x:c r="M165" s="9" t="n">
        <x:v>22</x:v>
      </x:c>
      <x:c r="N165" s="9" t="n">
        <x:v>0</x:v>
      </x:c>
      <x:c r="O165" s="5" t="inlineStr">
        <x:is>
          <x:t xml:space="preserve">Pending</x:t>
        </x:is>
      </x:c>
    </x:row>
    <x:row r="166">
      <x:c r="A166" s="5" t="inlineStr">
        <x:is>
          <x:t xml:space="preserve">EMP99709</x:t>
        </x:is>
      </x:c>
      <x:c r="B166" s="6" t="inlineStr">
        <x:is>
          <x:t xml:space="preserve">Liam Verma</x:t>
        </x:is>
      </x:c>
      <x:c r="C166" s="6" t="inlineStr">
        <x:is>
          <x:t xml:space="preserve">Tax Support</x:t>
        </x:is>
      </x:c>
      <x:c r="D166" s="5" t="inlineStr">
        <x:is>
          <x:t xml:space="preserve">Hyderabad</x:t>
        </x:is>
      </x:c>
      <x:c r="E166" s="36" t="n">
        <x:v>44713</x:v>
      </x:c>
      <x:c r="F166" s="37" t="n">
        <x:v>35576</x:v>
      </x:c>
      <x:c r="G166" s="37" t="n">
        <x:v>16009</x:v>
      </x:c>
      <x:c r="H166" s="37" t="n">
        <x:v>3000</x:v>
      </x:c>
      <x:c r="I166" s="37" t="n">
        <x:v>7162</x:v>
      </x:c>
      <x:c r="J166" s="37" t="n">
        <x:v>47423</x:v>
      </x:c>
      <x:c r="K166" s="5" t="inlineStr">
        <x:is>
          <x:t xml:space="preserve">Pending Verification</x:t>
        </x:is>
      </x:c>
      <x:c r="L166" s="5" t="inlineStr">
        <x:is>
          <x:t xml:space="preserve">Pending</x:t>
        </x:is>
      </x:c>
      <x:c r="M166" s="9" t="n">
        <x:v>19</x:v>
      </x:c>
      <x:c r="N166" s="9" t="n">
        <x:v>4</x:v>
      </x:c>
      <x:c r="O166" s="5" t="inlineStr">
        <x:is>
          <x:t xml:space="preserve">Processed</x:t>
        </x:is>
      </x:c>
    </x:row>
    <x:row r="167">
      <x:c r="A167" s="5" t="inlineStr">
        <x:is>
          <x:t xml:space="preserve">EMP41519</x:t>
        </x:is>
      </x:c>
      <x:c r="B167" s="6" t="inlineStr">
        <x:is>
          <x:t xml:space="preserve">Priya Reddy</x:t>
        </x:is>
      </x:c>
      <x:c r="C167" s="6" t="inlineStr">
        <x:is>
          <x:t xml:space="preserve">Tax Support</x:t>
        </x:is>
      </x:c>
      <x:c r="D167" s="5" t="inlineStr">
        <x:is>
          <x:t xml:space="preserve">Gurgaon</x:t>
        </x:is>
      </x:c>
      <x:c r="E167" s="36" t="n">
        <x:v>45631</x:v>
      </x:c>
      <x:c r="F167" s="37" t="n">
        <x:v>73806</x:v>
      </x:c>
      <x:c r="G167" s="37" t="n">
        <x:v>33213</x:v>
      </x:c>
      <x:c r="H167" s="37" t="n">
        <x:v>2500</x:v>
      </x:c>
      <x:c r="I167" s="37" t="n">
        <x:v>5102</x:v>
      </x:c>
      <x:c r="J167" s="37" t="n">
        <x:v>104417</x:v>
      </x:c>
      <x:c r="K167" s="5" t="n"/>
      <x:c r="L167" s="5" t="inlineStr">
        <x:is>
          <x:t xml:space="preserve">Pending</x:t>
        </x:is>
      </x:c>
      <x:c r="M167" s="9" t="n">
        <x:v>18</x:v>
      </x:c>
      <x:c r="N167" s="9" t="n">
        <x:v>1</x:v>
      </x:c>
      <x:c r="O167" s="5" t="inlineStr">
        <x:is>
          <x:t xml:space="preserve">Processed</x:t>
        </x:is>
      </x:c>
    </x:row>
    <x:row r="168">
      <x:c r="A168" s="5" t="inlineStr">
        <x:is>
          <x:t xml:space="preserve">EMP19963</x:t>
        </x:is>
      </x:c>
      <x:c r="B168" s="6" t="inlineStr">
        <x:is>
          <x:t xml:space="preserve">Noah Pillai</x:t>
        </x:is>
      </x:c>
      <x:c r="C168" s="6" t="inlineStr">
        <x:is>
          <x:t xml:space="preserve">Consulting Ops</x:t>
        </x:is>
      </x:c>
      <x:c r="D168" s="5" t="inlineStr">
        <x:is>
          <x:t xml:space="preserve">Noida</x:t>
        </x:is>
      </x:c>
      <x:c r="E168" s="36" t="n">
        <x:v>44947</x:v>
      </x:c>
      <x:c r="F168" s="37" t="n">
        <x:v>39912</x:v>
      </x:c>
      <x:c r="G168" s="37" t="n">
        <x:v>15965</x:v>
      </x:c>
      <x:c r="H168" s="37" t="n">
        <x:v>12000</x:v>
      </x:c>
      <x:c r="I168" s="37" t="n">
        <x:v>2868</x:v>
      </x:c>
      <x:c r="J168" s="37" t="n">
        <x:v>65009</x:v>
      </x:c>
      <x:c r="K168" s="5" t="inlineStr">
        <x:is>
          <x:t xml:space="preserve">Active</x:t>
        </x:is>
      </x:c>
      <x:c r="L168" s="5" t="inlineStr">
        <x:is>
          <x:t xml:space="preserve">Pending</x:t>
        </x:is>
      </x:c>
      <x:c r="M168" s="9" t="n">
        <x:v>24</x:v>
      </x:c>
      <x:c r="N168" s="9" t="n">
        <x:v>2</x:v>
      </x:c>
      <x:c r="O168" s="5" t="inlineStr">
        <x:is>
          <x:t xml:space="preserve">Processed</x:t>
        </x:is>
      </x:c>
    </x:row>
    <x:row r="169">
      <x:c r="A169" s="5" t="inlineStr">
        <x:is>
          <x:t xml:space="preserve">EMP96595</x:t>
        </x:is>
      </x:c>
      <x:c r="B169" s="6" t="inlineStr">
        <x:is>
          <x:t xml:space="preserve">Priya Brown</x:t>
        </x:is>
      </x:c>
      <x:c r="C169" s="6" t="inlineStr">
        <x:is>
          <x:t xml:space="preserve">Consulting Ops</x:t>
        </x:is>
      </x:c>
      <x:c r="D169" s="5" t="inlineStr">
        <x:is>
          <x:t xml:space="preserve">Chennai</x:t>
        </x:is>
      </x:c>
      <x:c r="E169" s="36" t="n">
        <x:v>44898</x:v>
      </x:c>
      <x:c r="F169" s="37" t="n">
        <x:v>27376</x:v>
      </x:c>
      <x:c r="G169" s="37" t="n">
        <x:v>10950</x:v>
      </x:c>
      <x:c r="H169" s="37" t="n">
        <x:v>3000</x:v>
      </x:c>
      <x:c r="I169" s="37" t="n">
        <x:v>4112</x:v>
      </x:c>
      <x:c r="J169" s="37" t="n">
        <x:v>37214</x:v>
      </x:c>
      <x:c r="K169" s="5" t="inlineStr">
        <x:is>
          <x:t xml:space="preserve">Pending Verification</x:t>
        </x:is>
      </x:c>
      <x:c r="L169" s="5" t="inlineStr">
        <x:is>
          <x:t xml:space="preserve">Verified</x:t>
        </x:is>
      </x:c>
      <x:c r="M169" s="9" t="n">
        <x:v>29</x:v>
      </x:c>
      <x:c r="N169" s="9" t="n">
        <x:v>1</x:v>
      </x:c>
      <x:c r="O169" s="5" t="inlineStr">
        <x:is>
          <x:t xml:space="preserve">Processed</x:t>
        </x:is>
      </x:c>
    </x:row>
    <x:row r="170">
      <x:c r="A170" s="5" t="inlineStr">
        <x:is>
          <x:t xml:space="preserve">EMP23965</x:t>
        </x:is>
      </x:c>
      <x:c r="B170" s="6" t="inlineStr">
        <x:is>
          <x:t xml:space="preserve">Arjun Anderson</x:t>
        </x:is>
      </x:c>
      <x:c r="C170" s="6" t="inlineStr">
        <x:is>
          <x:t xml:space="preserve">Talent Ops</x:t>
        </x:is>
      </x:c>
      <x:c r="D170" s="5" t="inlineStr">
        <x:is>
          <x:t xml:space="preserve">Kolkata</x:t>
        </x:is>
      </x:c>
      <x:c r="E170" s="36" t="n">
        <x:v>45050</x:v>
      </x:c>
      <x:c r="F170" s="37" t="n">
        <x:v>30683</x:v>
      </x:c>
      <x:c r="G170" s="37" t="n">
        <x:v>10739</x:v>
      </x:c>
      <x:c r="H170" s="37" t="n">
        <x:v>3000</x:v>
      </x:c>
      <x:c r="I170" s="37" t="n">
        <x:v>4530</x:v>
      </x:c>
      <x:c r="J170" s="37" t="n">
        <x:v>39892</x:v>
      </x:c>
      <x:c r="K170" s="5" t="inlineStr">
        <x:is>
          <x:t xml:space="preserve">Active</x:t>
        </x:is>
      </x:c>
      <x:c r="L170" s="5" t="inlineStr">
        <x:is>
          <x:t xml:space="preserve">Pending</x:t>
        </x:is>
      </x:c>
      <x:c r="M170" s="9" t="n">
        <x:v>19</x:v>
      </x:c>
      <x:c r="N170" s="9" t="n">
        <x:v>0</x:v>
      </x:c>
      <x:c r="O170" s="5" t="inlineStr">
        <x:is>
          <x:t xml:space="preserve">Processed</x:t>
        </x:is>
      </x:c>
    </x:row>
    <x:row r="171">
      <x:c r="A171" s="5" t="inlineStr">
        <x:is>
          <x:t xml:space="preserve">EMP82642</x:t>
        </x:is>
      </x:c>
      <x:c r="B171" s="6" t="inlineStr">
        <x:is>
          <x:t xml:space="preserve">Arjun Pillai</x:t>
        </x:is>
      </x:c>
      <x:c r="C171" s="6" t="inlineStr">
        <x:is>
          <x:t xml:space="preserve">Consulting Ops</x:t>
        </x:is>
      </x:c>
      <x:c r="D171" s="5" t="inlineStr">
        <x:is>
          <x:t xml:space="preserve">Gurgaon</x:t>
        </x:is>
      </x:c>
      <x:c r="E171" s="36" t="n">
        <x:v>45301</x:v>
      </x:c>
      <x:c r="F171" s="37" t="n">
        <x:v>49119</x:v>
      </x:c>
      <x:c r="G171" s="37" t="n">
        <x:v>19648</x:v>
      </x:c>
      <x:c r="H171" s="37" t="n">
        <x:v>2500</x:v>
      </x:c>
      <x:c r="I171" s="37" t="n">
        <x:v>6937</x:v>
      </x:c>
      <x:c r="J171" s="37" t="n">
        <x:v>64330</x:v>
      </x:c>
      <x:c r="K171" s="5" t="inlineStr">
        <x:is>
          <x:t xml:space="preserve">Pending Verification</x:t>
        </x:is>
      </x:c>
      <x:c r="L171" s="5" t="inlineStr">
        <x:is>
          <x:t xml:space="preserve">Verified</x:t>
        </x:is>
      </x:c>
      <x:c r="M171" s="9" t="n">
        <x:v>27</x:v>
      </x:c>
      <x:c r="N171" s="9" t="n">
        <x:v>4</x:v>
      </x:c>
      <x:c r="O171" s="5" t="inlineStr">
        <x:is>
          <x:t xml:space="preserve">Processed</x:t>
        </x:is>
      </x:c>
    </x:row>
    <x:row r="172">
      <x:c r="A172" s="5" t="inlineStr">
        <x:is>
          <x:t xml:space="preserve">EMP59903</x:t>
        </x:is>
      </x:c>
      <x:c r="B172" s="6" t="inlineStr">
        <x:is>
          <x:t xml:space="preserve">Ethan Desai</x:t>
        </x:is>
      </x:c>
      <x:c r="C172" s="6" t="inlineStr">
        <x:is>
          <x:t xml:space="preserve">Talent Ops</x:t>
        </x:is>
      </x:c>
      <x:c r="D172" s="5" t="inlineStr">
        <x:is>
          <x:t xml:space="preserve">Chennai</x:t>
        </x:is>
      </x:c>
      <x:c r="E172" s="36" t="n">
        <x:v>45143</x:v>
      </x:c>
      <x:c r="F172" s="37" t="n">
        <x:v>26146</x:v>
      </x:c>
      <x:c r="G172" s="37" t="n">
        <x:v>9151</x:v>
      </x:c>
      <x:c r="H172" s="37" t="n">
        <x:v>9000</x:v>
      </x:c>
      <x:c r="I172" s="37" t="n">
        <x:v>3260</x:v>
      </x:c>
      <x:c r="J172" s="37" t="n">
        <x:v>41037</x:v>
      </x:c>
      <x:c r="K172" s="5" t="inlineStr">
        <x:is>
          <x:t xml:space="preserve">Active</x:t>
        </x:is>
      </x:c>
      <x:c r="L172" s="5" t="inlineStr">
        <x:is>
          <x:t xml:space="preserve">Pending</x:t>
        </x:is>
      </x:c>
      <x:c r="M172" s="9" t="n">
        <x:v>25</x:v>
      </x:c>
      <x:c r="N172" s="9" t="n">
        <x:v>6</x:v>
      </x:c>
      <x:c r="O172" s="5" t="inlineStr">
        <x:is>
          <x:t xml:space="preserve">Processed</x:t>
        </x:is>
      </x:c>
    </x:row>
    <x:row r="173">
      <x:c r="A173" s="5" t="inlineStr">
        <x:is>
          <x:t xml:space="preserve">EMP42990</x:t>
        </x:is>
      </x:c>
      <x:c r="B173" s="6" t="inlineStr">
        <x:is>
          <x:t xml:space="preserve">Kavya Sharma</x:t>
        </x:is>
      </x:c>
      <x:c r="C173" s="6" t="inlineStr">
        <x:is>
          <x:t xml:space="preserve">Audit Support</x:t>
        </x:is>
      </x:c>
      <x:c r="D173" s="5" t="inlineStr">
        <x:is>
          <x:t xml:space="preserve">Pune</x:t>
        </x:is>
      </x:c>
      <x:c r="E173" s="36" t="n">
        <x:v>45327</x:v>
      </x:c>
      <x:c r="F173" s="37" t="n">
        <x:v>41966</x:v>
      </x:c>
      <x:c r="G173" s="37" t="n">
        <x:v>14688</x:v>
      </x:c>
      <x:c r="H173" s="37" t="n">
        <x:v>9000</x:v>
      </x:c>
      <x:c r="I173" s="37" t="n">
        <x:v>3721</x:v>
      </x:c>
      <x:c r="J173" s="37" t="n">
        <x:v>61933</x:v>
      </x:c>
      <x:c r="K173" s="5" t="inlineStr">
        <x:is>
          <x:t xml:space="preserve">Pending Verification</x:t>
        </x:is>
      </x:c>
      <x:c r="L173" s="5" t="inlineStr">
        <x:is>
          <x:t xml:space="preserve">Pending</x:t>
        </x:is>
      </x:c>
      <x:c r="M173" s="9" t="n">
        <x:v>30</x:v>
      </x:c>
      <x:c r="N173" s="9" t="n">
        <x:v>1</x:v>
      </x:c>
      <x:c r="O173" s="5" t="inlineStr">
        <x:is>
          <x:t xml:space="preserve">Processed</x:t>
        </x:is>
      </x:c>
    </x:row>
    <x:row r="174">
      <x:c r="A174" s="5" t="inlineStr">
        <x:is>
          <x:t xml:space="preserve">EMP66441</x:t>
        </x:is>
      </x:c>
      <x:c r="B174" s="6" t="inlineStr">
        <x:is>
          <x:t xml:space="preserve">Divya Johnson</x:t>
        </x:is>
      </x:c>
      <x:c r="C174" s="6" t="inlineStr">
        <x:is>
          <x:t xml:space="preserve">IT Support</x:t>
        </x:is>
      </x:c>
      <x:c r="D174" s="5" t="inlineStr">
        <x:is>
          <x:t xml:space="preserve">Pune</x:t>
        </x:is>
      </x:c>
      <x:c r="E174" s="36" t="n">
        <x:v>45449</x:v>
      </x:c>
      <x:c r="F174" s="37" t="n">
        <x:v>48099</x:v>
      </x:c>
      <x:c r="G174" s="37" t="n">
        <x:v>19240</x:v>
      </x:c>
      <x:c r="H174" s="37" t="n">
        <x:v>6000</x:v>
      </x:c>
      <x:c r="I174" s="37" t="n">
        <x:v>7020</x:v>
      </x:c>
      <x:c r="J174" s="37" t="n">
        <x:v>66319</x:v>
      </x:c>
      <x:c r="K174" s="5" t="inlineStr">
        <x:is>
          <x:t xml:space="preserve">Pending Verification</x:t>
        </x:is>
      </x:c>
      <x:c r="L174" s="5" t="inlineStr">
        <x:is>
          <x:t xml:space="preserve">Pending</x:t>
        </x:is>
      </x:c>
      <x:c r="M174" s="9" t="n">
        <x:v>27</x:v>
      </x:c>
      <x:c r="N174" s="9" t="n">
        <x:v>1</x:v>
      </x:c>
      <x:c r="O174" s="5" t="inlineStr">
        <x:is>
          <x:t xml:space="preserve">Processed</x:t>
        </x:is>
      </x:c>
    </x:row>
    <x:row r="175">
      <x:c r="A175" s="5" t="inlineStr">
        <x:is>
          <x:t xml:space="preserve">EMP46739</x:t>
        </x:is>
      </x:c>
      <x:c r="B175" s="6" t="inlineStr">
        <x:is>
          <x:t xml:space="preserve">Ravi Kumar</x:t>
        </x:is>
      </x:c>
      <x:c r="C175" s="6" t="inlineStr">
        <x:is>
          <x:t xml:space="preserve">HR Shared Services</x:t>
        </x:is>
      </x:c>
      <x:c r="D175" s="5" t="inlineStr">
        <x:is>
          <x:t xml:space="preserve">Pune</x:t>
        </x:is>
      </x:c>
      <x:c r="E175" s="36" t="n">
        <x:v>44890</x:v>
      </x:c>
      <x:c r="F175" s="37" t="n">
        <x:v>58051</x:v>
      </x:c>
      <x:c r="G175" s="37" t="n">
        <x:v>20318</x:v>
      </x:c>
      <x:c r="H175" s="37" t="n">
        <x:v>12000</x:v>
      </x:c>
      <x:c r="I175" s="37" t="n">
        <x:v>6802</x:v>
      </x:c>
      <x:c r="J175" s="37" t="n">
        <x:v>83567</x:v>
      </x:c>
      <x:c r="K175" s="5" t="inlineStr">
        <x:is>
          <x:t xml:space="preserve">Verified</x:t>
        </x:is>
      </x:c>
      <x:c r="L175" s="5" t="inlineStr">
        <x:is>
          <x:t xml:space="preserve">Pending</x:t>
        </x:is>
      </x:c>
      <x:c r="M175" s="9" t="n">
        <x:v>30</x:v>
      </x:c>
      <x:c r="N175" s="9" t="n">
        <x:v>1</x:v>
      </x:c>
      <x:c r="O175" s="5" t="inlineStr">
        <x:is>
          <x:t xml:space="preserve">Pending</x:t>
        </x:is>
      </x:c>
    </x:row>
    <x:row r="176">
      <x:c r="A176" s="5" t="inlineStr">
        <x:is>
          <x:t xml:space="preserve">EMP19064</x:t>
        </x:is>
      </x:c>
      <x:c r="B176" s="6" t="inlineStr">
        <x:is>
          <x:t xml:space="preserve">Rohan Reddy</x:t>
        </x:is>
      </x:c>
      <x:c r="C176" s="6" t="inlineStr">
        <x:is>
          <x:t xml:space="preserve">Audit Support</x:t>
        </x:is>
      </x:c>
      <x:c r="D176" s="5" t="inlineStr">
        <x:is>
          <x:t xml:space="preserve">Mumbai</x:t>
        </x:is>
      </x:c>
      <x:c r="E176" s="36" t="n">
        <x:v>45025</x:v>
      </x:c>
      <x:c r="F176" s="37" t="n">
        <x:v>65166</x:v>
      </x:c>
      <x:c r="G176" s="37" t="n">
        <x:v>22808</x:v>
      </x:c>
      <x:c r="H176" s="37" t="n">
        <x:v>9000</x:v>
      </x:c>
      <x:c r="I176" s="37" t="n">
        <x:v>7464</x:v>
      </x:c>
      <x:c r="J176" s="37" t="n">
        <x:v>89510</x:v>
      </x:c>
      <x:c r="K176" s="5" t="inlineStr">
        <x:is>
          <x:t xml:space="preserve">Active</x:t>
        </x:is>
      </x:c>
      <x:c r="L176" s="5" t="inlineStr">
        <x:is>
          <x:t xml:space="preserve">Verified</x:t>
        </x:is>
      </x:c>
      <x:c r="M176" s="9" t="n">
        <x:v>25</x:v>
      </x:c>
      <x:c r="N176" s="9" t="n">
        <x:v>4</x:v>
      </x:c>
      <x:c r="O176" s="5" t="inlineStr">
        <x:is>
          <x:t xml:space="preserve">Processed</x:t>
        </x:is>
      </x:c>
    </x:row>
    <x:row r="177">
      <x:c r="A177" s="5" t="inlineStr">
        <x:is>
          <x:t xml:space="preserve">EMP62534</x:t>
        </x:is>
      </x:c>
      <x:c r="B177" s="6" t="inlineStr">
        <x:is>
          <x:t xml:space="preserve">Rohan Nair</x:t>
        </x:is>
      </x:c>
      <x:c r="C177" s="6" t="inlineStr">
        <x:is>
          <x:t xml:space="preserve">Payroll Ops</x:t>
        </x:is>
      </x:c>
      <x:c r="D177" s="5" t="inlineStr">
        <x:is>
          <x:t xml:space="preserve">Gurgaon</x:t>
        </x:is>
      </x:c>
      <x:c r="E177" s="36" t="n">
        <x:v>44252</x:v>
      </x:c>
      <x:c r="F177" s="37" t="n">
        <x:v>38268</x:v>
      </x:c>
      <x:c r="G177" s="37" t="n">
        <x:v>17221</x:v>
      </x:c>
      <x:c r="H177" s="37" t="n">
        <x:v>7500</x:v>
      </x:c>
      <x:c r="I177" s="37" t="n">
        <x:v>2362</x:v>
      </x:c>
      <x:c r="J177" s="37" t="n">
        <x:v>60627</x:v>
      </x:c>
      <x:c r="K177" s="5" t="inlineStr">
        <x:is>
          <x:t xml:space="preserve">Pending Verification</x:t>
        </x:is>
      </x:c>
      <x:c r="L177" s="5" t="inlineStr">
        <x:is>
          <x:t xml:space="preserve">Verified</x:t>
        </x:is>
      </x:c>
      <x:c r="M177" s="9" t="n">
        <x:v>27</x:v>
      </x:c>
      <x:c r="N177" s="9" t="n">
        <x:v>3</x:v>
      </x:c>
      <x:c r="O177" s="5" t="inlineStr">
        <x:is>
          <x:t xml:space="preserve">Hold</x:t>
        </x:is>
      </x:c>
    </x:row>
    <x:row r="178">
      <x:c r="A178" s="5" t="inlineStr">
        <x:is>
          <x:t xml:space="preserve">EMP53463</x:t>
        </x:is>
      </x:c>
      <x:c r="B178" s="6" t="inlineStr">
        <x:is>
          <x:t xml:space="preserve">Sneha Davis</x:t>
        </x:is>
      </x:c>
      <x:c r="C178" s="6" t="inlineStr">
        <x:is>
          <x:t xml:space="preserve">Payroll Ops</x:t>
        </x:is>
      </x:c>
      <x:c r="D178" s="5" t="inlineStr">
        <x:is>
          <x:t xml:space="preserve">Bengaluru</x:t>
        </x:is>
      </x:c>
      <x:c r="E178" s="36" t="n">
        <x:v>45033</x:v>
      </x:c>
      <x:c r="F178" s="37" t="n">
        <x:v>70945</x:v>
      </x:c>
      <x:c r="G178" s="37" t="n">
        <x:v>31925</x:v>
      </x:c>
      <x:c r="H178" s="37" t="n">
        <x:v>4500</x:v>
      </x:c>
      <x:c r="I178" s="37" t="n">
        <x:v>4651</x:v>
      </x:c>
      <x:c r="J178" s="37" t="n">
        <x:v>102719</x:v>
      </x:c>
      <x:c r="K178" s="5" t="inlineStr">
        <x:is>
          <x:t xml:space="preserve">Active</x:t>
        </x:is>
      </x:c>
      <x:c r="L178" s="5" t="inlineStr">
        <x:is>
          <x:t xml:space="preserve">Pending</x:t>
        </x:is>
      </x:c>
      <x:c r="M178" s="9" t="n">
        <x:v>25</x:v>
      </x:c>
      <x:c r="N178" s="9" t="n">
        <x:v>6</x:v>
      </x:c>
      <x:c r="O178" s="5" t="inlineStr">
        <x:is>
          <x:t xml:space="preserve">Processed</x:t>
        </x:is>
      </x:c>
    </x:row>
    <x:row r="179">
      <x:c r="A179" s="5" t="inlineStr">
        <x:is>
          <x:t xml:space="preserve">EMP75597</x:t>
        </x:is>
      </x:c>
      <x:c r="B179" s="6" t="inlineStr">
        <x:is>
          <x:t xml:space="preserve">Emma Kumar</x:t>
        </x:is>
      </x:c>
      <x:c r="C179" s="6" t="inlineStr">
        <x:is>
          <x:t xml:space="preserve">Payroll Ops</x:t>
        </x:is>
      </x:c>
      <x:c r="D179" s="5" t="inlineStr">
        <x:is>
          <x:t xml:space="preserve">Kolkata</x:t>
        </x:is>
      </x:c>
      <x:c r="E179" s="36" t="n">
        <x:v>44330</x:v>
      </x:c>
      <x:c r="F179" s="37" t="n">
        <x:v>27626</x:v>
      </x:c>
      <x:c r="G179" s="37" t="n">
        <x:v>9669</x:v>
      </x:c>
      <x:c r="H179" s="37" t="n">
        <x:v>3000</x:v>
      </x:c>
      <x:c r="I179" s="37" t="n">
        <x:v>3853</x:v>
      </x:c>
      <x:c r="J179" s="37" t="n">
        <x:v>36442</x:v>
      </x:c>
      <x:c r="K179" s="5" t="inlineStr">
        <x:is>
          <x:t xml:space="preserve">Active</x:t>
        </x:is>
      </x:c>
      <x:c r="L179" s="5" t="inlineStr">
        <x:is>
          <x:t xml:space="preserve">Pending</x:t>
        </x:is>
      </x:c>
      <x:c r="M179" s="9" t="n">
        <x:v>25</x:v>
      </x:c>
      <x:c r="N179" s="9" t="n">
        <x:v>6</x:v>
      </x:c>
      <x:c r="O179" s="5" t="inlineStr">
        <x:is>
          <x:t xml:space="preserve">Processed</x:t>
        </x:is>
      </x:c>
    </x:row>
    <x:row r="180">
      <x:c r="A180" s="5" t="inlineStr">
        <x:is>
          <x:t xml:space="preserve">EMP73298</x:t>
        </x:is>
      </x:c>
      <x:c r="B180" s="6" t="inlineStr">
        <x:is>
          <x:t xml:space="preserve">Oliver Miller</x:t>
        </x:is>
      </x:c>
      <x:c r="C180" s="6" t="inlineStr">
        <x:is>
          <x:t xml:space="preserve">HR Shared Services</x:t>
        </x:is>
      </x:c>
      <x:c r="D180" s="5" t="inlineStr">
        <x:is>
          <x:t xml:space="preserve">Kolkata</x:t>
        </x:is>
      </x:c>
      <x:c r="E180" s="36" t="n">
        <x:v>45446</x:v>
      </x:c>
      <x:c r="F180" s="37" t="n">
        <x:v>41678</x:v>
      </x:c>
      <x:c r="G180" s="37" t="n">
        <x:v>14587</x:v>
      </x:c>
      <x:c r="H180" s="37" t="n">
        <x:v>2500</x:v>
      </x:c>
      <x:c r="I180" s="37" t="n">
        <x:v>1185</x:v>
      </x:c>
      <x:c r="J180" s="37" t="n">
        <x:v>57580</x:v>
      </x:c>
      <x:c r="K180" s="5" t="inlineStr">
        <x:is>
          <x:t xml:space="preserve">Active</x:t>
        </x:is>
      </x:c>
      <x:c r="L180" s="5" t="inlineStr">
        <x:is>
          <x:t xml:space="preserve">Verified</x:t>
        </x:is>
      </x:c>
      <x:c r="M180" s="9" t="n">
        <x:v>28</x:v>
      </x:c>
      <x:c r="N180" s="9" t="n">
        <x:v>1</x:v>
      </x:c>
      <x:c r="O180" s="5" t="inlineStr">
        <x:is>
          <x:t xml:space="preserve">Pending</x:t>
        </x:is>
      </x:c>
    </x:row>
    <x:row r="181">
      <x:c r="A181" s="5" t="inlineStr">
        <x:is>
          <x:t xml:space="preserve">EMP41970</x:t>
        </x:is>
      </x:c>
      <x:c r="B181" s="6" t="inlineStr">
        <x:is>
          <x:t xml:space="preserve">Fatima Nair</x:t>
        </x:is>
      </x:c>
      <x:c r="C181" s="6" t="inlineStr">
        <x:is>
          <x:t xml:space="preserve">Finance Ops</x:t>
        </x:is>
      </x:c>
      <x:c r="D181" s="5" t="inlineStr">
        <x:is>
          <x:t xml:space="preserve">Gurgaon</x:t>
        </x:is>
      </x:c>
      <x:c r="E181" s="36" t="n">
        <x:v>45512</x:v>
      </x:c>
      <x:c r="F181" s="37" t="n">
        <x:v>74281</x:v>
      </x:c>
      <x:c r="G181" s="37" t="n">
        <x:v>29712</x:v>
      </x:c>
      <x:c r="H181" s="37" t="n">
        <x:v>3000</x:v>
      </x:c>
      <x:c r="I181" s="37" t="n">
        <x:v>2526</x:v>
      </x:c>
      <x:c r="J181" s="37" t="n">
        <x:v>104467</x:v>
      </x:c>
      <x:c r="K181" s="5" t="inlineStr">
        <x:is>
          <x:t xml:space="preserve">Pending Verification</x:t>
        </x:is>
      </x:c>
      <x:c r="L181" s="5" t="inlineStr">
        <x:is>
          <x:t xml:space="preserve">Pending</x:t>
        </x:is>
      </x:c>
      <x:c r="M181" s="9" t="n">
        <x:v>24</x:v>
      </x:c>
      <x:c r="N181" s="9" t="n">
        <x:v>0</x:v>
      </x:c>
      <x:c r="O181" s="5" t="inlineStr">
        <x:is>
          <x:t xml:space="preserve">Processed</x:t>
        </x:is>
      </x:c>
    </x:row>
    <x:row r="182">
      <x:c r="A182" s="5" t="inlineStr">
        <x:is>
          <x:t xml:space="preserve">EMP35863</x:t>
        </x:is>
      </x:c>
      <x:c r="B182" s="6" t="inlineStr">
        <x:is>
          <x:t xml:space="preserve">Sophie Patel</x:t>
        </x:is>
      </x:c>
      <x:c r="C182" s="6" t="inlineStr">
        <x:is>
          <x:t xml:space="preserve">Risk Advisory</x:t>
        </x:is>
      </x:c>
      <x:c r="D182" s="5" t="inlineStr">
        <x:is>
          <x:t xml:space="preserve">Noida</x:t>
        </x:is>
      </x:c>
      <x:c r="E182" s="36" t="n">
        <x:v>44537</x:v>
      </x:c>
      <x:c r="F182" s="37" t="n">
        <x:v>35486</x:v>
      </x:c>
      <x:c r="G182" s="37" t="n">
        <x:v>14194</x:v>
      </x:c>
      <x:c r="H182" s="37" t="n">
        <x:v>2500</x:v>
      </x:c>
      <x:c r="I182" s="37" t="n">
        <x:v>5729</x:v>
      </x:c>
      <x:c r="J182" s="37" t="n">
        <x:v>46451</x:v>
      </x:c>
      <x:c r="K182" s="5" t="inlineStr">
        <x:is>
          <x:t xml:space="preserve">Verified</x:t>
        </x:is>
      </x:c>
      <x:c r="L182" s="5" t="inlineStr">
        <x:is>
          <x:t xml:space="preserve">Verified</x:t>
        </x:is>
      </x:c>
      <x:c r="M182" s="9" t="n">
        <x:v>23</x:v>
      </x:c>
      <x:c r="N182" s="9" t="n">
        <x:v>5</x:v>
      </x:c>
      <x:c r="O182" s="5" t="inlineStr">
        <x:is>
          <x:t xml:space="preserve">Processed</x:t>
        </x:is>
      </x:c>
    </x:row>
    <x:row r="183">
      <x:c r="A183" s="5" t="inlineStr">
        <x:is>
          <x:t xml:space="preserve">EMP24936</x:t>
        </x:is>
      </x:c>
      <x:c r="B183" s="6" t="inlineStr">
        <x:is>
          <x:t xml:space="preserve">Kiran Reddy</x:t>
        </x:is>
      </x:c>
      <x:c r="C183" s="6" t="inlineStr">
        <x:is>
          <x:t xml:space="preserve">Audit Support</x:t>
        </x:is>
      </x:c>
      <x:c r="D183" s="5" t="inlineStr">
        <x:is>
          <x:t xml:space="preserve">Gurgaon</x:t>
        </x:is>
      </x:c>
      <x:c r="E183" s="36" t="n">
        <x:v>45578</x:v>
      </x:c>
      <x:c r="F183" s="37" t="n">
        <x:v>60469</x:v>
      </x:c>
      <x:c r="G183" s="37" t="n">
        <x:v>21164</x:v>
      </x:c>
      <x:c r="H183" s="37" t="n">
        <x:v>7500</x:v>
      </x:c>
      <x:c r="I183" s="37" t="n">
        <x:v>3883</x:v>
      </x:c>
      <x:c r="J183" s="37" t="n">
        <x:v>85250</x:v>
      </x:c>
      <x:c r="K183" s="5" t="inlineStr">
        <x:is>
          <x:t xml:space="preserve">Active</x:t>
        </x:is>
      </x:c>
      <x:c r="L183" s="5" t="inlineStr">
        <x:is>
          <x:t xml:space="preserve">Verified</x:t>
        </x:is>
      </x:c>
      <x:c r="M183" s="9" t="n">
        <x:v>31</x:v>
      </x:c>
      <x:c r="N183" s="9" t="n">
        <x:v>0</x:v>
      </x:c>
      <x:c r="O183" s="5" t="inlineStr">
        <x:is>
          <x:t xml:space="preserve">Pending</x:t>
        </x:is>
      </x:c>
    </x:row>
    <x:row r="184">
      <x:c r="A184" s="5" t="inlineStr">
        <x:is>
          <x:t xml:space="preserve">EMP87354</x:t>
        </x:is>
      </x:c>
      <x:c r="B184" s="6" t="inlineStr">
        <x:is>
          <x:t xml:space="preserve">Arjun Reddy</x:t>
        </x:is>
      </x:c>
      <x:c r="C184" s="6" t="inlineStr">
        <x:is>
          <x:t xml:space="preserve">Finance Ops</x:t>
        </x:is>
      </x:c>
      <x:c r="D184" s="5" t="inlineStr">
        <x:is>
          <x:t xml:space="preserve">Gurgaon</x:t>
        </x:is>
      </x:c>
      <x:c r="E184" s="36" t="n">
        <x:v>44296</x:v>
      </x:c>
      <x:c r="F184" s="37" t="n">
        <x:v>29664</x:v>
      </x:c>
      <x:c r="G184" s="37" t="n">
        <x:v>10382</x:v>
      </x:c>
      <x:c r="H184" s="37" t="n">
        <x:v>7500</x:v>
      </x:c>
      <x:c r="I184" s="37" t="n">
        <x:v>6680</x:v>
      </x:c>
      <x:c r="J184" s="37" t="n">
        <x:v>40866</x:v>
      </x:c>
      <x:c r="K184" s="5" t="inlineStr">
        <x:is>
          <x:t xml:space="preserve">Verified</x:t>
        </x:is>
      </x:c>
      <x:c r="L184" s="5" t="inlineStr">
        <x:is>
          <x:t xml:space="preserve">Pending</x:t>
        </x:is>
      </x:c>
      <x:c r="M184" s="9" t="n">
        <x:v>24</x:v>
      </x:c>
      <x:c r="N184" s="9" t="n">
        <x:v>2</x:v>
      </x:c>
      <x:c r="O184" s="5" t="inlineStr">
        <x:is>
          <x:t xml:space="preserve">Processed</x:t>
        </x:is>
      </x:c>
    </x:row>
    <x:row r="185">
      <x:c r="A185" s="5" t="inlineStr">
        <x:is>
          <x:t xml:space="preserve">EMP65448</x:t>
        </x:is>
      </x:c>
      <x:c r="B185" s="6" t="inlineStr">
        <x:is>
          <x:t xml:space="preserve">Fatima Miller</x:t>
        </x:is>
      </x:c>
      <x:c r="C185" s="6" t="inlineStr">
        <x:is>
          <x:t xml:space="preserve">Tax Support</x:t>
        </x:is>
      </x:c>
      <x:c r="D185" s="5" t="inlineStr">
        <x:is>
          <x:t xml:space="preserve">Mumbai</x:t>
        </x:is>
      </x:c>
      <x:c r="E185" s="36" t="n">
        <x:v>44783</x:v>
      </x:c>
      <x:c r="F185" s="37" t="n">
        <x:v>31194</x:v>
      </x:c>
      <x:c r="G185" s="37" t="n">
        <x:v>10918</x:v>
      </x:c>
      <x:c r="H185" s="37" t="n">
        <x:v>7500</x:v>
      </x:c>
      <x:c r="I185" s="37" t="n">
        <x:v>7897</x:v>
      </x:c>
      <x:c r="J185" s="37" t="n">
        <x:v>41715</x:v>
      </x:c>
      <x:c r="K185" s="5" t="inlineStr">
        <x:is>
          <x:t xml:space="preserve">Active</x:t>
        </x:is>
      </x:c>
      <x:c r="L185" s="5" t="inlineStr">
        <x:is>
          <x:t xml:space="preserve">Verified</x:t>
        </x:is>
      </x:c>
      <x:c r="M185" s="9" t="n">
        <x:v>31</x:v>
      </x:c>
      <x:c r="N185" s="9" t="n">
        <x:v>0</x:v>
      </x:c>
      <x:c r="O185" s="5" t="inlineStr">
        <x:is>
          <x:t xml:space="preserve">Hold</x:t>
        </x:is>
      </x:c>
    </x:row>
    <x:row r="186">
      <x:c r="A186" s="5" t="inlineStr">
        <x:is>
          <x:t xml:space="preserve">EMP73518</x:t>
        </x:is>
      </x:c>
      <x:c r="B186" s="6" t="inlineStr">
        <x:is>
          <x:t xml:space="preserve">Divya Harris</x:t>
        </x:is>
      </x:c>
      <x:c r="C186" s="6" t="inlineStr">
        <x:is>
          <x:t xml:space="preserve">Risk Advisory</x:t>
        </x:is>
      </x:c>
      <x:c r="D186" s="5" t="inlineStr">
        <x:is>
          <x:t xml:space="preserve">Kolkata</x:t>
        </x:is>
      </x:c>
      <x:c r="E186" s="36" t="n">
        <x:v>45612</x:v>
      </x:c>
      <x:c r="F186" s="37" t="n">
        <x:v>49238</x:v>
      </x:c>
      <x:c r="G186" s="37" t="n">
        <x:v>22157</x:v>
      </x:c>
      <x:c r="H186" s="37" t="n">
        <x:v>12000</x:v>
      </x:c>
      <x:c r="I186" s="37" t="n">
        <x:v>5003</x:v>
      </x:c>
      <x:c r="J186" s="37" t="n">
        <x:v>78392</x:v>
      </x:c>
      <x:c r="K186" s="5" t="inlineStr">
        <x:is>
          <x:t xml:space="preserve">Verified</x:t>
        </x:is>
      </x:c>
      <x:c r="L186" s="5" t="inlineStr">
        <x:is>
          <x:t xml:space="preserve">Verified</x:t>
        </x:is>
      </x:c>
      <x:c r="M186" s="9" t="n">
        <x:v>27</x:v>
      </x:c>
      <x:c r="N186" s="9" t="n">
        <x:v>0</x:v>
      </x:c>
      <x:c r="O186" s="5" t="inlineStr">
        <x:is>
          <x:t xml:space="preserve">Pending</x:t>
        </x:is>
      </x:c>
    </x:row>
    <x:row r="187">
      <x:c r="A187" s="5" t="inlineStr">
        <x:is>
          <x:t xml:space="preserve">EMP38905</x:t>
        </x:is>
      </x:c>
      <x:c r="B187" s="6" t="inlineStr">
        <x:is>
          <x:t xml:space="preserve">Lucas Bose</x:t>
        </x:is>
      </x:c>
      <x:c r="C187" s="6" t="inlineStr">
        <x:is>
          <x:t xml:space="preserve">Talent Ops</x:t>
        </x:is>
      </x:c>
      <x:c r="D187" s="5" t="inlineStr">
        <x:is>
          <x:t xml:space="preserve">Pune</x:t>
        </x:is>
      </x:c>
      <x:c r="E187" s="36" t="n">
        <x:v>45010</x:v>
      </x:c>
      <x:c r="F187" s="37" t="n">
        <x:v>51971</x:v>
      </x:c>
      <x:c r="G187" s="37" t="n">
        <x:v>23387</x:v>
      </x:c>
      <x:c r="H187" s="37" t="n">
        <x:v>12000</x:v>
      </x:c>
      <x:c r="I187" s="37" t="n">
        <x:v>5503</x:v>
      </x:c>
      <x:c r="J187" s="37" t="n">
        <x:v>81855</x:v>
      </x:c>
      <x:c r="K187" s="5" t="inlineStr">
        <x:is>
          <x:t xml:space="preserve">Pending Verification</x:t>
        </x:is>
      </x:c>
      <x:c r="L187" s="5" t="inlineStr">
        <x:is>
          <x:t xml:space="preserve">Verified</x:t>
        </x:is>
      </x:c>
      <x:c r="M187" s="9" t="n">
        <x:v>27</x:v>
      </x:c>
      <x:c r="N187" s="9" t="n">
        <x:v>0</x:v>
      </x:c>
      <x:c r="O187" s="5" t="inlineStr">
        <x:is>
          <x:t xml:space="preserve">Processed</x:t>
        </x:is>
      </x:c>
    </x:row>
    <x:row r="188">
      <x:c r="A188" s="5" t="inlineStr">
        <x:is>
          <x:t xml:space="preserve">EMP81186</x:t>
        </x:is>
      </x:c>
      <x:c r="B188" s="6" t="inlineStr">
        <x:is>
          <x:t xml:space="preserve">Pooja Nair</x:t>
        </x:is>
      </x:c>
      <x:c r="C188" s="6" t="inlineStr">
        <x:is>
          <x:t xml:space="preserve">Payroll Ops</x:t>
        </x:is>
      </x:c>
      <x:c r="D188" s="5" t="inlineStr">
        <x:is>
          <x:t xml:space="preserve">Kolkata</x:t>
        </x:is>
      </x:c>
      <x:c r="E188" s="36" t="n">
        <x:v>44746</x:v>
      </x:c>
      <x:c r="F188" s="37" t="n">
        <x:v>70233</x:v>
      </x:c>
      <x:c r="G188" s="37" t="n">
        <x:v>31605</x:v>
      </x:c>
      <x:c r="H188" s="37" t="n">
        <x:v>4500</x:v>
      </x:c>
      <x:c r="I188" s="37" t="n">
        <x:v>3438</x:v>
      </x:c>
      <x:c r="J188" s="37" t="n">
        <x:v>102900</x:v>
      </x:c>
      <x:c r="K188" s="5" t="inlineStr">
        <x:is>
          <x:t xml:space="preserve">Verified</x:t>
        </x:is>
      </x:c>
      <x:c r="L188" s="5" t="inlineStr">
        <x:is>
          <x:t xml:space="preserve">Pending</x:t>
        </x:is>
      </x:c>
      <x:c r="M188" s="9" t="n">
        <x:v>22</x:v>
      </x:c>
      <x:c r="N188" s="9" t="n">
        <x:v>5</x:v>
      </x:c>
      <x:c r="O188" s="5" t="inlineStr">
        <x:is>
          <x:t xml:space="preserve">Pending</x:t>
        </x:is>
      </x:c>
    </x:row>
    <x:row r="189">
      <x:c r="A189" s="5" t="inlineStr">
        <x:is>
          <x:t xml:space="preserve">EMP21401</x:t>
        </x:is>
      </x:c>
      <x:c r="B189" s="6" t="inlineStr">
        <x:is>
          <x:t xml:space="preserve">Sophie Thompson</x:t>
        </x:is>
      </x:c>
      <x:c r="C189" s="6" t="inlineStr">
        <x:is>
          <x:t xml:space="preserve">HR Shared Services</x:t>
        </x:is>
      </x:c>
      <x:c r="D189" s="5" t="inlineStr">
        <x:is>
          <x:t xml:space="preserve">Pune</x:t>
        </x:is>
      </x:c>
      <x:c r="E189" s="36" t="n">
        <x:v>44914</x:v>
      </x:c>
      <x:c r="F189" s="37" t="n">
        <x:v>67163</x:v>
      </x:c>
      <x:c r="G189" s="37" t="n">
        <x:v>26865</x:v>
      </x:c>
      <x:c r="H189" s="37" t="n">
        <x:v>9000</x:v>
      </x:c>
      <x:c r="I189" s="37" t="n">
        <x:v>2359</x:v>
      </x:c>
      <x:c r="J189" s="37" t="n">
        <x:v>100669</x:v>
      </x:c>
      <x:c r="K189" s="5" t="inlineStr">
        <x:is>
          <x:t xml:space="preserve">Pending Verification</x:t>
        </x:is>
      </x:c>
      <x:c r="L189" s="5" t="inlineStr">
        <x:is>
          <x:t xml:space="preserve">Verified</x:t>
        </x:is>
      </x:c>
      <x:c r="M189" s="9" t="n">
        <x:v>30</x:v>
      </x:c>
      <x:c r="N189" s="9" t="n">
        <x:v>0</x:v>
      </x:c>
      <x:c r="O189" s="5" t="inlineStr">
        <x:is>
          <x:t xml:space="preserve">Pending</x:t>
        </x:is>
      </x:c>
    </x:row>
    <x:row r="190">
      <x:c r="A190" s="5" t="inlineStr">
        <x:is>
          <x:t xml:space="preserve">EMP17780</x:t>
        </x:is>
      </x:c>
      <x:c r="B190" s="6" t="inlineStr">
        <x:is>
          <x:t xml:space="preserve">Oliver Nair</x:t>
        </x:is>
      </x:c>
      <x:c r="C190" s="6" t="inlineStr">
        <x:is>
          <x:t xml:space="preserve">Talent Ops</x:t>
        </x:is>
      </x:c>
      <x:c r="D190" s="5" t="inlineStr">
        <x:is>
          <x:t xml:space="preserve">Mumbai</x:t>
        </x:is>
      </x:c>
      <x:c r="E190" s="36" t="n">
        <x:v>45270</x:v>
      </x:c>
      <x:c r="F190" s="37" t="n">
        <x:v>40961</x:v>
      </x:c>
      <x:c r="G190" s="37" t="n">
        <x:v>18432</x:v>
      </x:c>
      <x:c r="H190" s="37" t="n">
        <x:v>6000</x:v>
      </x:c>
      <x:c r="I190" s="37" t="n">
        <x:v>5214</x:v>
      </x:c>
      <x:c r="J190" s="37" t="n">
        <x:v>60179</x:v>
      </x:c>
      <x:c r="K190" s="5" t="inlineStr">
        <x:is>
          <x:t xml:space="preserve">Pending Verification</x:t>
        </x:is>
      </x:c>
      <x:c r="L190" s="5" t="inlineStr">
        <x:is>
          <x:t xml:space="preserve">Verified</x:t>
        </x:is>
      </x:c>
      <x:c r="M190" s="9" t="n">
        <x:v>20</x:v>
      </x:c>
      <x:c r="N190" s="9" t="n">
        <x:v>6</x:v>
      </x:c>
      <x:c r="O190" s="5" t="inlineStr">
        <x:is>
          <x:t xml:space="preserve">Pending</x:t>
        </x:is>
      </x:c>
    </x:row>
    <x:row r="191">
      <x:c r="A191" s="5" t="inlineStr">
        <x:is>
          <x:t xml:space="preserve">EMP46349</x:t>
        </x:is>
      </x:c>
      <x:c r="B191" s="6" t="inlineStr">
        <x:is>
          <x:t xml:space="preserve">Divya Shah</x:t>
        </x:is>
      </x:c>
      <x:c r="C191" s="6" t="inlineStr">
        <x:is>
          <x:t xml:space="preserve">Finance Ops</x:t>
        </x:is>
      </x:c>
      <x:c r="D191" s="5" t="inlineStr">
        <x:is>
          <x:t xml:space="preserve">Pune</x:t>
        </x:is>
      </x:c>
      <x:c r="E191" s="36" t="n">
        <x:v>44906</x:v>
      </x:c>
      <x:c r="F191" s="37" t="inlineStr">
        <x:is>
          <x:t xml:space="preserve">TBD</x:t>
        </x:is>
      </x:c>
      <x:c r="G191" s="37" t="n">
        <x:v>26703</x:v>
      </x:c>
      <x:c r="H191" s="37" t="n">
        <x:v>9000</x:v>
      </x:c>
      <x:c r="I191" s="37" t="n">
        <x:v>5009</x:v>
      </x:c>
      <x:c r="J191" s="37" t="n">
        <x:v>34663</x:v>
      </x:c>
      <x:c r="K191" s="5" t="inlineStr">
        <x:is>
          <x:t xml:space="preserve">Verified</x:t>
        </x:is>
      </x:c>
      <x:c r="L191" s="5" t="inlineStr">
        <x:is>
          <x:t xml:space="preserve">Pending</x:t>
        </x:is>
      </x:c>
      <x:c r="M191" s="9" t="n">
        <x:v>28</x:v>
      </x:c>
      <x:c r="N191" s="9" t="n">
        <x:v>3</x:v>
      </x:c>
      <x:c r="O191" s="5" t="inlineStr">
        <x:is>
          <x:t xml:space="preserve">Processed</x:t>
        </x:is>
      </x:c>
    </x:row>
    <x:row r="192">
      <x:c r="A192" s="5" t="inlineStr">
        <x:is>
          <x:t xml:space="preserve">EMP19898</x:t>
        </x:is>
      </x:c>
      <x:c r="B192" s="6" t="inlineStr">
        <x:is>
          <x:t xml:space="preserve">Arjun Lee</x:t>
        </x:is>
      </x:c>
      <x:c r="C192" s="6" t="inlineStr">
        <x:is>
          <x:t xml:space="preserve">Tax Support</x:t>
        </x:is>
      </x:c>
      <x:c r="D192" s="5" t="inlineStr">
        <x:is>
          <x:t xml:space="preserve">Chennai</x:t>
        </x:is>
      </x:c>
      <x:c r="E192" s="36" t="n">
        <x:v>45154</x:v>
      </x:c>
      <x:c r="F192" s="37" t="n">
        <x:v>43449</x:v>
      </x:c>
      <x:c r="G192" s="37" t="n">
        <x:v>19552</x:v>
      </x:c>
      <x:c r="H192" s="37" t="n">
        <x:v>1500</x:v>
      </x:c>
      <x:c r="I192" s="37" t="n">
        <x:v>7341</x:v>
      </x:c>
      <x:c r="J192" s="37" t="n">
        <x:v>57160</x:v>
      </x:c>
      <x:c r="K192" s="5" t="inlineStr">
        <x:is>
          <x:t xml:space="preserve">Pending Verification</x:t>
        </x:is>
      </x:c>
      <x:c r="L192" s="5" t="inlineStr">
        <x:is>
          <x:t xml:space="preserve">Verified</x:t>
        </x:is>
      </x:c>
      <x:c r="M192" s="9" t="n">
        <x:v>29</x:v>
      </x:c>
      <x:c r="N192" s="9" t="n">
        <x:v>1</x:v>
      </x:c>
      <x:c r="O192" s="5" t="inlineStr">
        <x:is>
          <x:t xml:space="preserve">Processed</x:t>
        </x:is>
      </x:c>
    </x:row>
    <x:row r="193">
      <x:c r="A193" s="5" t="inlineStr">
        <x:is>
          <x:t xml:space="preserve">EMP56952</x:t>
        </x:is>
      </x:c>
      <x:c r="B193" s="6" t="inlineStr">
        <x:is>
          <x:t xml:space="preserve">Ananya Taylor</x:t>
        </x:is>
      </x:c>
      <x:c r="C193" s="6" t="inlineStr">
        <x:is>
          <x:t xml:space="preserve">Tax Support</x:t>
        </x:is>
      </x:c>
      <x:c r="D193" s="5" t="inlineStr">
        <x:is>
          <x:t xml:space="preserve">Noida</x:t>
        </x:is>
      </x:c>
      <x:c r="E193" s="36" t="n">
        <x:v>44769</x:v>
      </x:c>
      <x:c r="F193" s="37" t="n">
        <x:v>35883</x:v>
      </x:c>
      <x:c r="G193" s="37" t="n">
        <x:v>14353</x:v>
      </x:c>
      <x:c r="H193" s="37" t="n">
        <x:v>6000</x:v>
      </x:c>
      <x:c r="I193" s="37" t="n">
        <x:v>3644</x:v>
      </x:c>
      <x:c r="J193" s="37" t="n">
        <x:v>52592</x:v>
      </x:c>
      <x:c r="K193" s="5" t="inlineStr">
        <x:is>
          <x:t xml:space="preserve">Active</x:t>
        </x:is>
      </x:c>
      <x:c r="L193" s="5" t="inlineStr">
        <x:is>
          <x:t xml:space="preserve">Pending</x:t>
        </x:is>
      </x:c>
      <x:c r="M193" s="9" t="n">
        <x:v>26</x:v>
      </x:c>
      <x:c r="N193" s="9" t="n">
        <x:v>4</x:v>
      </x:c>
      <x:c r="O193" s="5" t="inlineStr">
        <x:is>
          <x:t xml:space="preserve">Processed</x:t>
        </x:is>
      </x:c>
    </x:row>
    <x:row r="194">
      <x:c r="A194" s="5" t="inlineStr">
        <x:is>
          <x:t xml:space="preserve">EMP73614</x:t>
        </x:is>
      </x:c>
      <x:c r="B194" s="6" t="inlineStr">
        <x:is>
          <x:t xml:space="preserve">Noah Verma</x:t>
        </x:is>
      </x:c>
      <x:c r="C194" s="6" t="inlineStr">
        <x:is>
          <x:t xml:space="preserve">Payroll Ops</x:t>
        </x:is>
      </x:c>
      <x:c r="D194" s="5" t="inlineStr">
        <x:is>
          <x:t xml:space="preserve">Hyderabad</x:t>
        </x:is>
      </x:c>
      <x:c r="E194" s="36" t="n">
        <x:v>44526</x:v>
      </x:c>
      <x:c r="F194" s="37" t="n">
        <x:v>76834</x:v>
      </x:c>
      <x:c r="G194" s="37" t="n">
        <x:v>30734</x:v>
      </x:c>
      <x:c r="H194" s="37" t="n">
        <x:v>1500</x:v>
      </x:c>
      <x:c r="I194" s="37" t="n">
        <x:v>2017</x:v>
      </x:c>
      <x:c r="J194" s="37" t="n">
        <x:v>107051</x:v>
      </x:c>
      <x:c r="K194" s="5" t="inlineStr">
        <x:is>
          <x:t xml:space="preserve">Verified</x:t>
        </x:is>
      </x:c>
      <x:c r="L194" s="5" t="inlineStr">
        <x:is>
          <x:t xml:space="preserve">Pending</x:t>
        </x:is>
      </x:c>
      <x:c r="M194" s="9" t="n">
        <x:v>25</x:v>
      </x:c>
      <x:c r="N194" s="9" t="n">
        <x:v>0</x:v>
      </x:c>
      <x:c r="O194" s="5" t="inlineStr">
        <x:is>
          <x:t xml:space="preserve">Done</x:t>
        </x:is>
      </x:c>
    </x:row>
    <x:row r="195">
      <x:c r="A195" s="5" t="inlineStr">
        <x:is>
          <x:t xml:space="preserve">EMP66072</x:t>
        </x:is>
      </x:c>
      <x:c r="B195" s="6" t="inlineStr">
        <x:is>
          <x:t xml:space="preserve">Henry Shah</x:t>
        </x:is>
      </x:c>
      <x:c r="C195" s="6" t="inlineStr">
        <x:is>
          <x:t xml:space="preserve">Finance Ops</x:t>
        </x:is>
      </x:c>
      <x:c r="D195" s="5" t="inlineStr">
        <x:is>
          <x:t xml:space="preserve">Chennai</x:t>
        </x:is>
      </x:c>
      <x:c r="E195" s="36" t="n">
        <x:v>44684</x:v>
      </x:c>
      <x:c r="F195" s="37" t="n">
        <x:v>64899</x:v>
      </x:c>
      <x:c r="G195" s="37" t="n">
        <x:v>25960</x:v>
      </x:c>
      <x:c r="H195" s="37" t="n">
        <x:v>6000</x:v>
      </x:c>
      <x:c r="I195" s="37" t="n">
        <x:v>1675</x:v>
      </x:c>
      <x:c r="J195" s="37" t="n">
        <x:v>95184</x:v>
      </x:c>
      <x:c r="K195" s="5" t="inlineStr">
        <x:is>
          <x:t xml:space="preserve">Active</x:t>
        </x:is>
      </x:c>
      <x:c r="L195" s="5" t="inlineStr">
        <x:is>
          <x:t xml:space="preserve">Verified</x:t>
        </x:is>
      </x:c>
      <x:c r="M195" s="9" t="n">
        <x:v>18</x:v>
      </x:c>
      <x:c r="N195" s="9" t="n">
        <x:v>6</x:v>
      </x:c>
      <x:c r="O195" s="5" t="inlineStr">
        <x:is>
          <x:t xml:space="preserve">Processed</x:t>
        </x:is>
      </x:c>
    </x:row>
    <x:row r="196">
      <x:c r="A196" s="5" t="inlineStr">
        <x:is>
          <x:t xml:space="preserve">EMP40689</x:t>
        </x:is>
      </x:c>
      <x:c r="B196" s="6" t="inlineStr">
        <x:is>
          <x:t xml:space="preserve">Sneha Rao</x:t>
        </x:is>
      </x:c>
      <x:c r="C196" s="6" t="inlineStr">
        <x:is>
          <x:t xml:space="preserve">HR Shared Services</x:t>
        </x:is>
      </x:c>
      <x:c r="D196" s="5" t="inlineStr">
        <x:is>
          <x:t xml:space="preserve">Bengaluru</x:t>
        </x:is>
      </x:c>
      <x:c r="E196" s="36" t="n">
        <x:v>44302</x:v>
      </x:c>
      <x:c r="F196" s="37" t="n">
        <x:v>27107</x:v>
      </x:c>
      <x:c r="G196" s="37" t="n">
        <x:v>9487</x:v>
      </x:c>
      <x:c r="H196" s="37" t="n">
        <x:v>4500</x:v>
      </x:c>
      <x:c r="I196" s="37" t="n">
        <x:v>5255</x:v>
      </x:c>
      <x:c r="J196" s="37" t="n">
        <x:v>37639</x:v>
      </x:c>
      <x:c r="K196" s="5" t="inlineStr">
        <x:is>
          <x:t xml:space="preserve">Pending Verification</x:t>
        </x:is>
      </x:c>
      <x:c r="L196" s="5" t="inlineStr">
        <x:is>
          <x:t xml:space="preserve">Pending</x:t>
        </x:is>
      </x:c>
      <x:c r="M196" s="9" t="n">
        <x:v>18</x:v>
      </x:c>
      <x:c r="N196" s="9" t="n">
        <x:v>0</x:v>
      </x:c>
      <x:c r="O196" s="5" t="inlineStr">
        <x:is>
          <x:t xml:space="preserve">Processed</x:t>
        </x:is>
      </x:c>
    </x:row>
    <x:row r="197">
      <x:c r="A197" s="5" t="inlineStr">
        <x:is>
          <x:t xml:space="preserve">EMP25806</x:t>
        </x:is>
      </x:c>
      <x:c r="B197" s="6" t="inlineStr">
        <x:is>
          <x:t xml:space="preserve">Sneha Shah</x:t>
        </x:is>
      </x:c>
      <x:c r="C197" s="6" t="inlineStr">
        <x:is>
          <x:t xml:space="preserve">Finance Ops</x:t>
        </x:is>
      </x:c>
      <x:c r="D197" s="5" t="inlineStr">
        <x:is>
          <x:t xml:space="preserve">Kolkata</x:t>
        </x:is>
      </x:c>
      <x:c r="E197" s="36" t="n">
        <x:v>44299</x:v>
      </x:c>
      <x:c r="F197" s="37" t="n">
        <x:v>27854</x:v>
      </x:c>
      <x:c r="G197" s="37" t="n">
        <x:v>12534</x:v>
      </x:c>
      <x:c r="H197" s="37" t="n">
        <x:v>2500</x:v>
      </x:c>
      <x:c r="I197" s="37" t="n">
        <x:v>1845</x:v>
      </x:c>
      <x:c r="J197" s="37" t="n">
        <x:v>41043</x:v>
      </x:c>
      <x:c r="K197" s="5" t="inlineStr">
        <x:is>
          <x:t xml:space="preserve">Active</x:t>
        </x:is>
      </x:c>
      <x:c r="L197" s="5" t="inlineStr">
        <x:is>
          <x:t xml:space="preserve">Pending</x:t>
        </x:is>
      </x:c>
      <x:c r="M197" s="9" t="n">
        <x:v>22</x:v>
      </x:c>
      <x:c r="N197" s="9" t="n">
        <x:v>2</x:v>
      </x:c>
      <x:c r="O197" s="5" t="inlineStr">
        <x:is>
          <x:t xml:space="preserve">Processed</x:t>
        </x:is>
      </x:c>
    </x:row>
    <x:row r="198">
      <x:c r="A198" s="5" t="inlineStr">
        <x:is>
          <x:t xml:space="preserve">EMP27451</x:t>
        </x:is>
      </x:c>
      <x:c r="B198" s="6" t="inlineStr">
        <x:is>
          <x:t xml:space="preserve">Emma Brown</x:t>
        </x:is>
      </x:c>
      <x:c r="C198" s="6" t="inlineStr">
        <x:is>
          <x:t xml:space="preserve">Tax Support</x:t>
        </x:is>
      </x:c>
      <x:c r="D198" s="5" t="inlineStr">
        <x:is>
          <x:t xml:space="preserve">Hyderabad</x:t>
        </x:is>
      </x:c>
      <x:c r="E198" s="36" t="n">
        <x:v>44785</x:v>
      </x:c>
      <x:c r="F198" s="37" t="n">
        <x:v>69345</x:v>
      </x:c>
      <x:c r="G198" s="37" t="n">
        <x:v>24271</x:v>
      </x:c>
      <x:c r="H198" s="37" t="n">
        <x:v>3000</x:v>
      </x:c>
      <x:c r="I198" s="37" t="n">
        <x:v>4372</x:v>
      </x:c>
      <x:c r="J198" s="37" t="n">
        <x:v>92244</x:v>
      </x:c>
      <x:c r="K198" s="5" t="inlineStr">
        <x:is>
          <x:t xml:space="preserve">Pending Verification</x:t>
        </x:is>
      </x:c>
      <x:c r="L198" s="5" t="inlineStr">
        <x:is>
          <x:t xml:space="preserve">Pending</x:t>
        </x:is>
      </x:c>
      <x:c r="M198" s="9" t="n">
        <x:v>31</x:v>
      </x:c>
      <x:c r="N198" s="9" t="n">
        <x:v>0</x:v>
      </x:c>
      <x:c r="O198" s="5" t="inlineStr">
        <x:is>
          <x:t xml:space="preserve">Processed</x:t>
        </x:is>
      </x:c>
    </x:row>
    <x:row r="199">
      <x:c r="A199" s="5" t="inlineStr">
        <x:is>
          <x:t xml:space="preserve">EMP23168</x:t>
        </x:is>
      </x:c>
      <x:c r="B199" s="6" t="inlineStr">
        <x:is>
          <x:t xml:space="preserve">Divya Singh</x:t>
        </x:is>
      </x:c>
      <x:c r="C199" s="6" t="inlineStr">
        <x:is>
          <x:t xml:space="preserve">HR Shared Services</x:t>
        </x:is>
      </x:c>
      <x:c r="D199" s="5" t="inlineStr">
        <x:is>
          <x:t xml:space="preserve">Noida</x:t>
        </x:is>
      </x:c>
      <x:c r="E199" s="36" t="n">
        <x:v>45118</x:v>
      </x:c>
      <x:c r="F199" s="37" t="n">
        <x:v>73844</x:v>
      </x:c>
      <x:c r="G199" s="37" t="n">
        <x:v>25845</x:v>
      </x:c>
      <x:c r="H199" s="37" t="n">
        <x:v>4500</x:v>
      </x:c>
      <x:c r="I199" s="37" t="n">
        <x:v>3268</x:v>
      </x:c>
      <x:c r="J199" s="37" t="n">
        <x:v>100921</x:v>
      </x:c>
      <x:c r="K199" s="5" t="inlineStr">
        <x:is>
          <x:t xml:space="preserve">Pending Verification</x:t>
        </x:is>
      </x:c>
      <x:c r="L199" s="5" t="inlineStr">
        <x:is>
          <x:t xml:space="preserve">Verified</x:t>
        </x:is>
      </x:c>
      <x:c r="M199" s="9" t="n">
        <x:v>21</x:v>
      </x:c>
      <x:c r="N199" s="9" t="n">
        <x:v>8</x:v>
      </x:c>
      <x:c r="O199" s="5" t="inlineStr">
        <x:is>
          <x:t xml:space="preserve">Processed</x:t>
        </x:is>
      </x:c>
    </x:row>
    <x:row r="200">
      <x:c r="A200" s="5" t="inlineStr">
        <x:is>
          <x:t xml:space="preserve">EMP89638</x:t>
        </x:is>
      </x:c>
      <x:c r="B200" s="6" t="inlineStr">
        <x:is>
          <x:t xml:space="preserve">Lucas Singh</x:t>
        </x:is>
      </x:c>
      <x:c r="C200" s="6" t="inlineStr">
        <x:is>
          <x:t xml:space="preserve">Payroll Ops</x:t>
        </x:is>
      </x:c>
      <x:c r="D200" s="5" t="inlineStr">
        <x:is>
          <x:t xml:space="preserve">Chennai</x:t>
        </x:is>
      </x:c>
      <x:c r="E200" s="36" t="n">
        <x:v>44824</x:v>
      </x:c>
      <x:c r="F200" s="37" t="n">
        <x:v>55392</x:v>
      </x:c>
      <x:c r="G200" s="37" t="n">
        <x:v>19387</x:v>
      </x:c>
      <x:c r="H200" s="37" t="n">
        <x:v>9000</x:v>
      </x:c>
      <x:c r="I200" s="37" t="n">
        <x:v>3421</x:v>
      </x:c>
      <x:c r="J200" s="37" t="n">
        <x:v>80358</x:v>
      </x:c>
      <x:c r="K200" s="5" t="inlineStr">
        <x:is>
          <x:t xml:space="preserve">Pending Verification</x:t>
        </x:is>
      </x:c>
      <x:c r="L200" s="5" t="inlineStr">
        <x:is>
          <x:t xml:space="preserve">Verified</x:t>
        </x:is>
      </x:c>
      <x:c r="M200" s="9" t="n">
        <x:v>30</x:v>
      </x:c>
      <x:c r="N200" s="9" t="n">
        <x:v>12</x:v>
      </x:c>
      <x:c r="O200" s="5" t="inlineStr">
        <x:is>
          <x:t xml:space="preserve">Processed</x:t>
        </x:is>
      </x:c>
    </x:row>
    <x:row r="201">
      <x:c r="A201" s="5" t="inlineStr">
        <x:is>
          <x:t xml:space="preserve">EMP24777</x:t>
        </x:is>
      </x:c>
      <x:c r="B201" s="6" t="inlineStr">
        <x:is>
          <x:t xml:space="preserve">Kavya Miller</x:t>
        </x:is>
      </x:c>
      <x:c r="C201" s="6" t="inlineStr">
        <x:is>
          <x:t xml:space="preserve">Consulting Ops</x:t>
        </x:is>
      </x:c>
      <x:c r="D201" s="5" t="inlineStr">
        <x:is>
          <x:t xml:space="preserve">Bengaluru</x:t>
        </x:is>
      </x:c>
      <x:c r="E201" s="36" t="n">
        <x:v>44358</x:v>
      </x:c>
      <x:c r="F201" s="37" t="n">
        <x:v>30649</x:v>
      </x:c>
      <x:c r="G201" s="37" t="n">
        <x:v>12260</x:v>
      </x:c>
      <x:c r="H201" s="37" t="n">
        <x:v>9000</x:v>
      </x:c>
      <x:c r="I201" s="37" t="n">
        <x:v>3993</x:v>
      </x:c>
      <x:c r="J201" s="37" t="n">
        <x:v>47916</x:v>
      </x:c>
      <x:c r="K201" s="5" t="inlineStr">
        <x:is>
          <x:t xml:space="preserve">Pending Verification</x:t>
        </x:is>
      </x:c>
      <x:c r="L201" s="5" t="inlineStr">
        <x:is>
          <x:t xml:space="preserve">Verified</x:t>
        </x:is>
      </x:c>
      <x:c r="M201" s="9" t="n">
        <x:v>30</x:v>
      </x:c>
      <x:c r="N201" s="9" t="n">
        <x:v>1</x:v>
      </x:c>
      <x:c r="O201" s="5" t="inlineStr">
        <x:is>
          <x:t xml:space="preserve">Hold</x:t>
        </x:is>
      </x:c>
    </x:row>
    <x:row r="202">
      <x:c r="A202" s="5" t="inlineStr">
        <x:is>
          <x:t xml:space="preserve">EMP19567</x:t>
        </x:is>
      </x:c>
      <x:c r="B202" s="6" t="inlineStr">
        <x:is>
          <x:t xml:space="preserve">Aisha Patel</x:t>
        </x:is>
      </x:c>
      <x:c r="C202" s="6" t="inlineStr">
        <x:is>
          <x:t xml:space="preserve">HR Shared Services</x:t>
        </x:is>
      </x:c>
      <x:c r="D202" s="5" t="inlineStr">
        <x:is>
          <x:t xml:space="preserve">Hyderabad</x:t>
        </x:is>
      </x:c>
      <x:c r="E202" s="36" t="n">
        <x:v>45018</x:v>
      </x:c>
      <x:c r="F202" s="37" t="n">
        <x:v>25962</x:v>
      </x:c>
      <x:c r="G202" s="37" t="n">
        <x:v>10385</x:v>
      </x:c>
      <x:c r="H202" s="37" t="n">
        <x:v>6000</x:v>
      </x:c>
      <x:c r="I202" s="37" t="n">
        <x:v>6149</x:v>
      </x:c>
      <x:c r="J202" s="37" t="n">
        <x:v>36198</x:v>
      </x:c>
      <x:c r="K202" s="5" t="inlineStr">
        <x:is>
          <x:t xml:space="preserve">Pending Verification</x:t>
        </x:is>
      </x:c>
      <x:c r="L202" s="5" t="inlineStr">
        <x:is>
          <x:t xml:space="preserve">Pending</x:t>
        </x:is>
      </x:c>
      <x:c r="M202" s="9" t="n">
        <x:v>24</x:v>
      </x:c>
      <x:c r="N202" s="9" t="n">
        <x:v>6</x:v>
      </x:c>
      <x:c r="O202" s="5" t="inlineStr">
        <x:is>
          <x:t xml:space="preserve">Processed</x:t>
        </x:is>
      </x:c>
    </x:row>
    <x:row r="203">
      <x:c r="A203" s="5" t="inlineStr">
        <x:is>
          <x:t xml:space="preserve">EMP80328</x:t>
        </x:is>
      </x:c>
      <x:c r="B203" s="6" t="inlineStr">
        <x:is>
          <x:t xml:space="preserve">Emma Jackson</x:t>
        </x:is>
      </x:c>
      <x:c r="C203" s="6" t="inlineStr">
        <x:is>
          <x:t xml:space="preserve">HR Shared Services</x:t>
        </x:is>
      </x:c>
      <x:c r="D203" s="5" t="inlineStr">
        <x:is>
          <x:t xml:space="preserve">Chennai</x:t>
        </x:is>
      </x:c>
      <x:c r="E203" s="36" t="n">
        <x:v>44446</x:v>
      </x:c>
      <x:c r="F203" s="37" t="n">
        <x:v>74957</x:v>
      </x:c>
      <x:c r="G203" s="37" t="n">
        <x:v>26235</x:v>
      </x:c>
      <x:c r="H203" s="37" t="n">
        <x:v>7500</x:v>
      </x:c>
      <x:c r="I203" s="37" t="n">
        <x:v>4200</x:v>
      </x:c>
      <x:c r="J203" s="37" t="n">
        <x:v>104492</x:v>
      </x:c>
      <x:c r="K203" s="5" t="inlineStr">
        <x:is>
          <x:t xml:space="preserve">Pending Verification</x:t>
        </x:is>
      </x:c>
      <x:c r="L203" s="5" t="inlineStr">
        <x:is>
          <x:t xml:space="preserve">Verified</x:t>
        </x:is>
      </x:c>
      <x:c r="M203" s="9" t="n">
        <x:v>22</x:v>
      </x:c>
      <x:c r="N203" s="9" t="n">
        <x:v>6</x:v>
      </x:c>
      <x:c r="O203" s="5" t="inlineStr">
        <x:is>
          <x:t xml:space="preserve">Processed</x:t>
        </x:is>
      </x:c>
    </x:row>
    <x:row r="204">
      <x:c r="A204" s="5" t="inlineStr">
        <x:is>
          <x:t xml:space="preserve">EMP41278</x:t>
        </x:is>
      </x:c>
      <x:c r="B204" s="6" t="inlineStr">
        <x:is>
          <x:t xml:space="preserve">Amira Iyer</x:t>
        </x:is>
      </x:c>
      <x:c r="C204" s="6" t="inlineStr">
        <x:is>
          <x:t xml:space="preserve">HR Shared Services</x:t>
        </x:is>
      </x:c>
      <x:c r="D204" s="5" t="inlineStr">
        <x:is>
          <x:t xml:space="preserve">Noida</x:t>
        </x:is>
      </x:c>
      <x:c r="E204" s="36" t="n">
        <x:v>44428</x:v>
      </x:c>
      <x:c r="F204" s="37" t="n"/>
      <x:c r="G204" s="37" t="n">
        <x:v>21665</x:v>
      </x:c>
      <x:c r="H204" s="37" t="n">
        <x:v>6000</x:v>
      </x:c>
      <x:c r="I204" s="37" t="n">
        <x:v>6456</x:v>
      </x:c>
      <x:c r="J204" s="37" t="n">
        <x:v>56212</x:v>
      </x:c>
      <x:c r="K204" s="5" t="inlineStr">
        <x:is>
          <x:t xml:space="preserve">Pending Verification</x:t>
        </x:is>
      </x:c>
      <x:c r="L204" s="5" t="inlineStr">
        <x:is>
          <x:t xml:space="preserve">Verified</x:t>
        </x:is>
      </x:c>
      <x:c r="M204" s="9" t="n">
        <x:v>19</x:v>
      </x:c>
      <x:c r="N204" s="9" t="n">
        <x:v>0</x:v>
      </x:c>
      <x:c r="O204" s="5" t="inlineStr">
        <x:is>
          <x:t xml:space="preserve">Processed</x:t>
        </x:is>
      </x:c>
    </x:row>
    <x:row r="205">
      <x:c r="A205" s="5" t="inlineStr">
        <x:is>
          <x:t xml:space="preserve">EMP16019</x:t>
        </x:is>
      </x:c>
      <x:c r="B205" s="6" t="inlineStr">
        <x:is>
          <x:t xml:space="preserve">Ethan Miller</x:t>
        </x:is>
      </x:c>
      <x:c r="C205" s="6" t="inlineStr">
        <x:is>
          <x:t xml:space="preserve">IT Support</x:t>
        </x:is>
      </x:c>
      <x:c r="D205" s="5" t="inlineStr">
        <x:is>
          <x:t xml:space="preserve">Chennai</x:t>
        </x:is>
      </x:c>
      <x:c r="E205" s="36" t="n">
        <x:v>44717</x:v>
      </x:c>
      <x:c r="F205" s="37" t="n">
        <x:v>71137</x:v>
      </x:c>
      <x:c r="G205" s="37" t="n">
        <x:v>28455</x:v>
      </x:c>
      <x:c r="H205" s="37" t="n">
        <x:v>2500</x:v>
      </x:c>
      <x:c r="I205" s="37" t="n">
        <x:v>7319</x:v>
      </x:c>
      <x:c r="J205" s="37" t="n">
        <x:v>94773</x:v>
      </x:c>
      <x:c r="K205" s="5" t="inlineStr">
        <x:is>
          <x:t xml:space="preserve">Verified</x:t>
        </x:is>
      </x:c>
      <x:c r="L205" s="5" t="inlineStr">
        <x:is>
          <x:t xml:space="preserve">Pending</x:t>
        </x:is>
      </x:c>
      <x:c r="M205" s="9" t="n">
        <x:v>30</x:v>
      </x:c>
      <x:c r="N205" s="9" t="n">
        <x:v>1</x:v>
      </x:c>
      <x:c r="O205" s="5" t="inlineStr">
        <x:is>
          <x:t xml:space="preserve">Processed</x:t>
        </x:is>
      </x:c>
    </x:row>
    <x:row r="206">
      <x:c r="A206" s="5" t="inlineStr">
        <x:is>
          <x:t xml:space="preserve">EMP18371</x:t>
        </x:is>
      </x:c>
      <x:c r="B206" s="6" t="inlineStr">
        <x:is>
          <x:t xml:space="preserve">Kiran Shah</x:t>
        </x:is>
      </x:c>
      <x:c r="C206" s="6" t="inlineStr">
        <x:is>
          <x:t xml:space="preserve">Consulting Ops</x:t>
        </x:is>
      </x:c>
      <x:c r="D206" s="5" t="inlineStr">
        <x:is>
          <x:t xml:space="preserve">Bengaluru</x:t>
        </x:is>
      </x:c>
      <x:c r="E206" s="36" t="n">
        <x:v>45521</x:v>
      </x:c>
      <x:c r="F206" s="37" t="n">
        <x:v>45601</x:v>
      </x:c>
      <x:c r="G206" s="37" t="n">
        <x:v>15960</x:v>
      </x:c>
      <x:c r="H206" s="37" t="n">
        <x:v>12000</x:v>
      </x:c>
      <x:c r="I206" s="37" t="n">
        <x:v>5643</x:v>
      </x:c>
      <x:c r="J206" s="37" t="n">
        <x:v>67918</x:v>
      </x:c>
      <x:c r="K206" s="5" t="inlineStr">
        <x:is>
          <x:t xml:space="preserve">Verified</x:t>
        </x:is>
      </x:c>
      <x:c r="L206" s="5" t="inlineStr">
        <x:is>
          <x:t xml:space="preserve">Pending</x:t>
        </x:is>
      </x:c>
      <x:c r="M206" s="9" t="n">
        <x:v>20</x:v>
      </x:c>
      <x:c r="N206" s="9" t="n">
        <x:v>4</x:v>
      </x:c>
      <x:c r="O206" s="5" t="inlineStr">
        <x:is>
          <x:t xml:space="preserve">Pending</x:t>
        </x:is>
      </x:c>
    </x:row>
    <x:row r="207">
      <x:c r="A207" s="5" t="inlineStr">
        <x:is>
          <x:t xml:space="preserve">EMP85223</x:t>
        </x:is>
      </x:c>
      <x:c r="B207" s="6" t="inlineStr">
        <x:is>
          <x:t xml:space="preserve">Deepika Iyer</x:t>
        </x:is>
      </x:c>
      <x:c r="C207" s="6" t="inlineStr">
        <x:is>
          <x:t xml:space="preserve">Tax Support</x:t>
        </x:is>
      </x:c>
      <x:c r="D207" s="5" t="inlineStr">
        <x:is>
          <x:t xml:space="preserve">Hyderabad</x:t>
        </x:is>
      </x:c>
      <x:c r="E207" s="36" t="n">
        <x:v>44204</x:v>
      </x:c>
      <x:c r="F207" s="37" t="n">
        <x:v>25013</x:v>
      </x:c>
      <x:c r="G207" s="37" t="n">
        <x:v>10005</x:v>
      </x:c>
      <x:c r="H207" s="37" t="n">
        <x:v>7500</x:v>
      </x:c>
      <x:c r="I207" s="37" t="n">
        <x:v>4137</x:v>
      </x:c>
      <x:c r="J207" s="37" t="n">
        <x:v>38381</x:v>
      </x:c>
      <x:c r="K207" s="5" t="inlineStr">
        <x:is>
          <x:t xml:space="preserve">Verified</x:t>
        </x:is>
      </x:c>
      <x:c r="L207" s="5" t="inlineStr">
        <x:is>
          <x:t xml:space="preserve">Verified</x:t>
        </x:is>
      </x:c>
      <x:c r="M207" s="9" t="n">
        <x:v>32</x:v>
      </x:c>
      <x:c r="N207" s="9" t="n">
        <x:v>0</x:v>
      </x:c>
      <x:c r="O207" s="5" t="inlineStr">
        <x:is>
          <x:t xml:space="preserve">Processed</x:t>
        </x:is>
      </x:c>
    </x:row>
    <x:row r="208">
      <x:c r="A208" s="5" t="inlineStr">
        <x:is>
          <x:t xml:space="preserve">EMP95944</x:t>
        </x:is>
      </x:c>
      <x:c r="B208" s="6" t="inlineStr">
        <x:is>
          <x:t xml:space="preserve">Rohan Iyer</x:t>
        </x:is>
      </x:c>
      <x:c r="C208" s="6" t="inlineStr">
        <x:is>
          <x:t xml:space="preserve">IT Support</x:t>
        </x:is>
      </x:c>
      <x:c r="D208" s="5" t="inlineStr">
        <x:is>
          <x:t xml:space="preserve">Pune</x:t>
        </x:is>
      </x:c>
      <x:c r="E208" s="36" t="n">
        <x:v>45637</x:v>
      </x:c>
      <x:c r="F208" s="37" t="n">
        <x:v>39777</x:v>
      </x:c>
      <x:c r="G208" s="37" t="n">
        <x:v>13922</x:v>
      </x:c>
      <x:c r="H208" s="37" t="n">
        <x:v>7500</x:v>
      </x:c>
      <x:c r="I208" s="37" t="n">
        <x:v>1978</x:v>
      </x:c>
      <x:c r="J208" s="37" t="n">
        <x:v>59221</x:v>
      </x:c>
      <x:c r="K208" s="5" t="inlineStr">
        <x:is>
          <x:t xml:space="preserve">Pending Verification</x:t>
        </x:is>
      </x:c>
      <x:c r="L208" s="5" t="inlineStr">
        <x:is>
          <x:t xml:space="preserve">Verified</x:t>
        </x:is>
      </x:c>
      <x:c r="M208" s="9" t="n">
        <x:v>20</x:v>
      </x:c>
      <x:c r="N208" s="9" t="n">
        <x:v>3</x:v>
      </x:c>
      <x:c r="O208" s="5" t="inlineStr">
        <x:is>
          <x:t xml:space="preserve">Pending</x:t>
        </x:is>
      </x:c>
    </x:row>
    <x:row r="209">
      <x:c r="A209" s="5" t="inlineStr">
        <x:is>
          <x:t xml:space="preserve">EMP16019</x:t>
        </x:is>
      </x:c>
      <x:c r="B209" s="6" t="inlineStr">
        <x:is>
          <x:t xml:space="preserve">Ravi Brown</x:t>
        </x:is>
      </x:c>
      <x:c r="C209" s="6" t="inlineStr">
        <x:is>
          <x:t xml:space="preserve">Audit Support</x:t>
        </x:is>
      </x:c>
      <x:c r="D209" s="5" t="inlineStr">
        <x:is>
          <x:t xml:space="preserve">Chennai</x:t>
        </x:is>
      </x:c>
      <x:c r="E209" s="36" t="n">
        <x:v>45080</x:v>
      </x:c>
      <x:c r="F209" s="37" t="n">
        <x:v>58247</x:v>
      </x:c>
      <x:c r="G209" s="37" t="n">
        <x:v>23299</x:v>
      </x:c>
      <x:c r="H209" s="37" t="n">
        <x:v>1500</x:v>
      </x:c>
      <x:c r="I209" s="37" t="n">
        <x:v>4022</x:v>
      </x:c>
      <x:c r="J209" s="37" t="n">
        <x:v>79024</x:v>
      </x:c>
      <x:c r="K209" s="5" t="inlineStr">
        <x:is>
          <x:t xml:space="preserve">Verified</x:t>
        </x:is>
      </x:c>
      <x:c r="L209" s="5" t="inlineStr">
        <x:is>
          <x:t xml:space="preserve">Pending</x:t>
        </x:is>
      </x:c>
      <x:c r="M209" s="9" t="n">
        <x:v>27</x:v>
      </x:c>
      <x:c r="N209" s="9" t="n">
        <x:v>2</x:v>
      </x:c>
      <x:c r="O209" s="5" t="inlineStr">
        <x:is>
          <x:t xml:space="preserve">Processed</x:t>
        </x:is>
      </x:c>
    </x:row>
    <x:row r="210">
      <x:c r="A210" s="5" t="inlineStr">
        <x:is>
          <x:t xml:space="preserve">EMP41795</x:t>
        </x:is>
      </x:c>
      <x:c r="B210" s="6" t="inlineStr">
        <x:is>
          <x:t xml:space="preserve">Vikram Kumar</x:t>
        </x:is>
      </x:c>
      <x:c r="C210" s="6" t="inlineStr">
        <x:is>
          <x:t xml:space="preserve">Consulting Ops</x:t>
        </x:is>
      </x:c>
      <x:c r="D210" s="5" t="inlineStr">
        <x:is>
          <x:t xml:space="preserve">Kolkata</x:t>
        </x:is>
      </x:c>
      <x:c r="E210" s="36" t="n">
        <x:v>44913</x:v>
      </x:c>
      <x:c r="F210" s="37" t="n">
        <x:v>71838</x:v>
      </x:c>
      <x:c r="G210" s="37" t="n">
        <x:v>25143</x:v>
      </x:c>
      <x:c r="H210" s="37" t="n">
        <x:v>3000</x:v>
      </x:c>
      <x:c r="I210" s="37" t="n">
        <x:v>1052</x:v>
      </x:c>
      <x:c r="J210" s="37" t="n">
        <x:v>98929</x:v>
      </x:c>
      <x:c r="K210" s="5" t="inlineStr">
        <x:is>
          <x:t xml:space="preserve">Active</x:t>
        </x:is>
      </x:c>
      <x:c r="L210" s="5" t="inlineStr">
        <x:is>
          <x:t xml:space="preserve">Verified</x:t>
        </x:is>
      </x:c>
      <x:c r="M210" s="9" t="n">
        <x:v>21</x:v>
      </x:c>
      <x:c r="N210" s="9" t="n">
        <x:v>8</x:v>
      </x:c>
      <x:c r="O210" s="5" t="inlineStr">
        <x:is>
          <x:t xml:space="preserve">Processed</x:t>
        </x:is>
      </x:c>
    </x:row>
    <x:row r="211">
      <x:c r="A211" s="5" t="inlineStr">
        <x:is>
          <x:t xml:space="preserve">EMP11257</x:t>
        </x:is>
      </x:c>
      <x:c r="B211" s="6" t="inlineStr">
        <x:is>
          <x:t xml:space="preserve">Noah Anderson</x:t>
        </x:is>
      </x:c>
      <x:c r="C211" s="6" t="inlineStr">
        <x:is>
          <x:t xml:space="preserve">Risk Advisory</x:t>
        </x:is>
      </x:c>
      <x:c r="D211" s="5" t="inlineStr">
        <x:is>
          <x:t xml:space="preserve">Chennai</x:t>
        </x:is>
      </x:c>
      <x:c r="E211" s="36" t="n">
        <x:v>44303</x:v>
      </x:c>
      <x:c r="F211" s="37" t="n">
        <x:v>37608</x:v>
      </x:c>
      <x:c r="G211" s="37" t="n">
        <x:v>15043</x:v>
      </x:c>
      <x:c r="H211" s="37" t="n">
        <x:v>12000</x:v>
      </x:c>
      <x:c r="I211" s="37" t="n">
        <x:v>1490</x:v>
      </x:c>
      <x:c r="J211" s="37" t="n">
        <x:v>63161</x:v>
      </x:c>
      <x:c r="K211" s="5" t="n"/>
      <x:c r="L211" s="5" t="inlineStr">
        <x:is>
          <x:t xml:space="preserve">Pending</x:t>
        </x:is>
      </x:c>
      <x:c r="M211" s="9" t="n">
        <x:v>19</x:v>
      </x:c>
      <x:c r="N211" s="9" t="n">
        <x:v>0</x:v>
      </x:c>
      <x:c r="O211" s="5" t="inlineStr">
        <x:is>
          <x:t xml:space="preserve">Pending</x:t>
        </x:is>
      </x:c>
    </x:row>
    <x:row r="212">
      <x:c r="A212" s="5" t="inlineStr">
        <x:is>
          <x:t xml:space="preserve">EMP78125</x:t>
        </x:is>
      </x:c>
      <x:c r="B212" s="6" t="inlineStr">
        <x:is>
          <x:t xml:space="preserve">Rohan Shah</x:t>
        </x:is>
      </x:c>
      <x:c r="C212" s="6" t="inlineStr">
        <x:is>
          <x:t xml:space="preserve">IT Support</x:t>
        </x:is>
      </x:c>
      <x:c r="D212" s="5" t="inlineStr">
        <x:is>
          <x:t xml:space="preserve">Kolkata</x:t>
        </x:is>
      </x:c>
      <x:c r="E212" s="36" t="n">
        <x:v>44473</x:v>
      </x:c>
      <x:c r="F212" s="37" t="inlineStr">
        <x:is>
          <x:t xml:space="preserve">TBD</x:t>
        </x:is>
      </x:c>
      <x:c r="G212" s="37" t="n">
        <x:v>19293</x:v>
      </x:c>
      <x:c r="H212" s="37" t="n">
        <x:v>9000</x:v>
      </x:c>
      <x:c r="I212" s="37" t="n">
        <x:v>1613</x:v>
      </x:c>
      <x:c r="J212" s="37" t="n">
        <x:v>62435</x:v>
      </x:c>
      <x:c r="K212" s="5" t="inlineStr">
        <x:is>
          <x:t xml:space="preserve">Pending Verification</x:t>
        </x:is>
      </x:c>
      <x:c r="L212" s="5" t="inlineStr">
        <x:is>
          <x:t xml:space="preserve">Verified</x:t>
        </x:is>
      </x:c>
      <x:c r="M212" s="9" t="n">
        <x:v>24</x:v>
      </x:c>
      <x:c r="N212" s="9" t="n">
        <x:v>2</x:v>
      </x:c>
      <x:c r="O212" s="5" t="inlineStr">
        <x:is>
          <x:t xml:space="preserve">Processed</x:t>
        </x:is>
      </x:c>
    </x:row>
    <x:row r="213">
      <x:c r="A213" s="5" t="inlineStr">
        <x:is>
          <x:t xml:space="preserve">EMP44208</x:t>
        </x:is>
      </x:c>
      <x:c r="B213" s="6" t="inlineStr">
        <x:is>
          <x:t xml:space="preserve">Mohammed White</x:t>
        </x:is>
      </x:c>
      <x:c r="C213" s="6" t="inlineStr">
        <x:is>
          <x:t xml:space="preserve">Risk Advisory</x:t>
        </x:is>
      </x:c>
      <x:c r="D213" s="5" t="inlineStr">
        <x:is>
          <x:t xml:space="preserve">Gurgaon</x:t>
        </x:is>
      </x:c>
      <x:c r="E213" s="36" t="n">
        <x:v>45147</x:v>
      </x:c>
      <x:c r="F213" s="37" t="n">
        <x:v>37309</x:v>
      </x:c>
      <x:c r="G213" s="37" t="n">
        <x:v>13058</x:v>
      </x:c>
      <x:c r="H213" s="37" t="n">
        <x:v>4500</x:v>
      </x:c>
      <x:c r="I213" s="37" t="n">
        <x:v>2115</x:v>
      </x:c>
      <x:c r="J213" s="37" t="n">
        <x:v>52752</x:v>
      </x:c>
      <x:c r="K213" s="5" t="inlineStr">
        <x:is>
          <x:t xml:space="preserve">Pending Verification</x:t>
        </x:is>
      </x:c>
      <x:c r="L213" s="5" t="inlineStr">
        <x:is>
          <x:t xml:space="preserve">Verified</x:t>
        </x:is>
      </x:c>
      <x:c r="M213" s="9" t="n">
        <x:v>20</x:v>
      </x:c>
      <x:c r="N213" s="9" t="n">
        <x:v>1</x:v>
      </x:c>
      <x:c r="O213" s="5" t="inlineStr">
        <x:is>
          <x:t xml:space="preserve">Processed</x:t>
        </x:is>
      </x:c>
    </x:row>
    <x:row r="214">
      <x:c r="A214" s="5" t="inlineStr">
        <x:is>
          <x:t xml:space="preserve">EMP71086</x:t>
        </x:is>
      </x:c>
      <x:c r="B214" s="6" t="inlineStr">
        <x:is>
          <x:t xml:space="preserve">Mohammed Martin</x:t>
        </x:is>
      </x:c>
      <x:c r="C214" s="6" t="inlineStr">
        <x:is>
          <x:t xml:space="preserve">HR Shared Services</x:t>
        </x:is>
      </x:c>
      <x:c r="D214" s="5" t="inlineStr">
        <x:is>
          <x:t xml:space="preserve">Gurgaon</x:t>
        </x:is>
      </x:c>
      <x:c r="E214" s="36" t="n">
        <x:v>44783</x:v>
      </x:c>
      <x:c r="F214" s="37" t="n">
        <x:v>52365</x:v>
      </x:c>
      <x:c r="G214" s="37" t="n">
        <x:v>20946</x:v>
      </x:c>
      <x:c r="H214" s="37" t="n">
        <x:v>2500</x:v>
      </x:c>
      <x:c r="I214" s="37" t="n">
        <x:v>1740</x:v>
      </x:c>
      <x:c r="J214" s="37" t="n">
        <x:v>74071</x:v>
      </x:c>
      <x:c r="K214" s="5" t="inlineStr">
        <x:is>
          <x:t xml:space="preserve">Verified</x:t>
        </x:is>
      </x:c>
      <x:c r="L214" s="5" t="inlineStr">
        <x:is>
          <x:t xml:space="preserve">Pending</x:t>
        </x:is>
      </x:c>
      <x:c r="M214" s="9" t="n">
        <x:v>31</x:v>
      </x:c>
      <x:c r="N214" s="9" t="n">
        <x:v>0</x:v>
      </x:c>
      <x:c r="O214" s="5" t="inlineStr">
        <x:is>
          <x:t xml:space="preserve">Processed</x:t>
        </x:is>
      </x:c>
    </x:row>
    <x:row r="215">
      <x:c r="A215" s="5" t="inlineStr">
        <x:is>
          <x:t xml:space="preserve">EMP52964</x:t>
        </x:is>
      </x:c>
      <x:c r="B215" s="6" t="inlineStr">
        <x:is>
          <x:t xml:space="preserve">Emma Brown</x:t>
        </x:is>
      </x:c>
      <x:c r="C215" s="6" t="inlineStr">
        <x:is>
          <x:t xml:space="preserve">Benefits Team</x:t>
        </x:is>
      </x:c>
      <x:c r="D215" s="5" t="inlineStr">
        <x:is>
          <x:t xml:space="preserve">Gurgaon</x:t>
        </x:is>
      </x:c>
      <x:c r="E215" s="36" t="n">
        <x:v>45537</x:v>
      </x:c>
      <x:c r="F215" s="37" t="n">
        <x:v>66379</x:v>
      </x:c>
      <x:c r="G215" s="37" t="n">
        <x:v>26552</x:v>
      </x:c>
      <x:c r="H215" s="37" t="n">
        <x:v>6000</x:v>
      </x:c>
      <x:c r="I215" s="37" t="n">
        <x:v>7718</x:v>
      </x:c>
      <x:c r="J215" s="37" t="n">
        <x:v>91213</x:v>
      </x:c>
      <x:c r="K215" s="5" t="inlineStr">
        <x:is>
          <x:t xml:space="preserve">Verified</x:t>
        </x:is>
      </x:c>
      <x:c r="L215" s="5" t="inlineStr">
        <x:is>
          <x:t xml:space="preserve">Verified</x:t>
        </x:is>
      </x:c>
      <x:c r="M215" s="9" t="n">
        <x:v>24</x:v>
      </x:c>
      <x:c r="N215" s="9" t="n">
        <x:v>7</x:v>
      </x:c>
      <x:c r="O215" s="5" t="inlineStr">
        <x:is>
          <x:t xml:space="preserve">Processed</x:t>
        </x:is>
      </x:c>
    </x:row>
    <x:row r="216">
      <x:c r="A216" s="5" t="inlineStr">
        <x:is>
          <x:t xml:space="preserve">EMP82105</x:t>
        </x:is>
      </x:c>
      <x:c r="B216" s="6" t="inlineStr">
        <x:is>
          <x:t xml:space="preserve">Kavya Davis</x:t>
        </x:is>
      </x:c>
      <x:c r="C216" s="6" t="inlineStr">
        <x:is>
          <x:t xml:space="preserve">Audit Support</x:t>
        </x:is>
      </x:c>
      <x:c r="D216" s="5" t="inlineStr">
        <x:is>
          <x:t xml:space="preserve">Bengaluru</x:t>
        </x:is>
      </x:c>
      <x:c r="E216" s="36" t="n">
        <x:v>44593</x:v>
      </x:c>
      <x:c r="F216" s="37" t="n">
        <x:v>26041</x:v>
      </x:c>
      <x:c r="G216" s="37" t="n">
        <x:v>9114</x:v>
      </x:c>
      <x:c r="H216" s="37" t="n">
        <x:v>3000</x:v>
      </x:c>
      <x:c r="I216" s="37" t="n">
        <x:v>2623</x:v>
      </x:c>
      <x:c r="J216" s="37" t="n">
        <x:v>35532</x:v>
      </x:c>
      <x:c r="K216" s="5" t="inlineStr">
        <x:is>
          <x:t xml:space="preserve">Active</x:t>
        </x:is>
      </x:c>
      <x:c r="L216" s="5" t="inlineStr">
        <x:is>
          <x:t xml:space="preserve">Pending</x:t>
        </x:is>
      </x:c>
      <x:c r="M216" s="9" t="n">
        <x:v>28</x:v>
      </x:c>
      <x:c r="N216" s="9" t="n">
        <x:v>0</x:v>
      </x:c>
      <x:c r="O216" s="5" t="inlineStr">
        <x:is>
          <x:t xml:space="preserve">Processed</x:t>
        </x:is>
      </x:c>
    </x:row>
    <x:row r="217">
      <x:c r="A217" s="5" t="inlineStr">
        <x:is>
          <x:t xml:space="preserve">EMP43924</x:t>
        </x:is>
      </x:c>
      <x:c r="B217" s="6" t="inlineStr">
        <x:is>
          <x:t xml:space="preserve">Ananya Anderson</x:t>
        </x:is>
      </x:c>
      <x:c r="C217" s="6" t="inlineStr">
        <x:is>
          <x:t xml:space="preserve">HR Shared Services</x:t>
        </x:is>
      </x:c>
      <x:c r="D217" s="5" t="inlineStr">
        <x:is>
          <x:t xml:space="preserve">Pune</x:t>
        </x:is>
      </x:c>
      <x:c r="E217" s="36" t="n">
        <x:v>45354</x:v>
      </x:c>
      <x:c r="F217" s="37" t="n">
        <x:v>77527</x:v>
      </x:c>
      <x:c r="G217" s="37" t="n">
        <x:v>31011</x:v>
      </x:c>
      <x:c r="H217" s="37" t="n">
        <x:v>2500</x:v>
      </x:c>
      <x:c r="I217" s="37" t="n">
        <x:v>1349</x:v>
      </x:c>
      <x:c r="J217" s="37" t="n">
        <x:v>109689</x:v>
      </x:c>
      <x:c r="K217" s="5" t="inlineStr">
        <x:is>
          <x:t xml:space="preserve">Active</x:t>
        </x:is>
      </x:c>
      <x:c r="L217" s="5" t="inlineStr">
        <x:is>
          <x:t xml:space="preserve">Verified</x:t>
        </x:is>
      </x:c>
      <x:c r="M217" s="9" t="n">
        <x:v>20</x:v>
      </x:c>
      <x:c r="N217" s="9" t="n">
        <x:v>6</x:v>
      </x:c>
      <x:c r="O217" s="5" t="inlineStr">
        <x:is>
          <x:t xml:space="preserve">Pending</x:t>
        </x:is>
      </x:c>
    </x:row>
    <x:row r="218">
      <x:c r="A218" s="5" t="inlineStr">
        <x:is>
          <x:t xml:space="preserve">EMP61773</x:t>
        </x:is>
      </x:c>
      <x:c r="B218" s="6" t="inlineStr">
        <x:is>
          <x:t xml:space="preserve">Charlotte Anderson</x:t>
        </x:is>
      </x:c>
      <x:c r="C218" s="6" t="inlineStr">
        <x:is>
          <x:t xml:space="preserve">Risk Advisory</x:t>
        </x:is>
      </x:c>
      <x:c r="D218" s="5" t="inlineStr">
        <x:is>
          <x:t xml:space="preserve">Noida</x:t>
        </x:is>
      </x:c>
      <x:c r="E218" s="36" t="n">
        <x:v>44719</x:v>
      </x:c>
      <x:c r="F218" s="37" t="n">
        <x:v>34265</x:v>
      </x:c>
      <x:c r="G218" s="37" t="n">
        <x:v>13706</x:v>
      </x:c>
      <x:c r="H218" s="37" t="n">
        <x:v>6000</x:v>
      </x:c>
      <x:c r="I218" s="37" t="n">
        <x:v>4653</x:v>
      </x:c>
      <x:c r="J218" s="37" t="n">
        <x:v>49318</x:v>
      </x:c>
      <x:c r="K218" s="5" t="inlineStr">
        <x:is>
          <x:t xml:space="preserve">Verified</x:t>
        </x:is>
      </x:c>
      <x:c r="L218" s="5" t="inlineStr">
        <x:is>
          <x:t xml:space="preserve">Verified</x:t>
        </x:is>
      </x:c>
      <x:c r="M218" s="9" t="n">
        <x:v>27</x:v>
      </x:c>
      <x:c r="N218" s="9" t="n">
        <x:v>4</x:v>
      </x:c>
      <x:c r="O218" s="5" t="inlineStr">
        <x:is>
          <x:t xml:space="preserve">Processed</x:t>
        </x:is>
      </x:c>
    </x:row>
    <x:row r="219">
      <x:c r="A219" s="5" t="inlineStr">
        <x:is>
          <x:t xml:space="preserve">EMP94840</x:t>
        </x:is>
      </x:c>
      <x:c r="B219" s="6" t="inlineStr">
        <x:is>
          <x:t xml:space="preserve">Lucas Miller</x:t>
        </x:is>
      </x:c>
      <x:c r="C219" s="6" t="inlineStr">
        <x:is>
          <x:t xml:space="preserve">Risk Advisory</x:t>
        </x:is>
      </x:c>
      <x:c r="D219" s="5" t="inlineStr">
        <x:is>
          <x:t xml:space="preserve">Kolkata</x:t>
        </x:is>
      </x:c>
      <x:c r="E219" s="36" t="n">
        <x:v>44236</x:v>
      </x:c>
      <x:c r="F219" s="37" t="n">
        <x:v>47101</x:v>
      </x:c>
      <x:c r="G219" s="37" t="n">
        <x:v>16485</x:v>
      </x:c>
      <x:c r="H219" s="37" t="n">
        <x:v>9000</x:v>
      </x:c>
      <x:c r="I219" s="37" t="n">
        <x:v>2633</x:v>
      </x:c>
      <x:c r="J219" s="37" t="n">
        <x:v>69953</x:v>
      </x:c>
      <x:c r="K219" s="5" t="inlineStr">
        <x:is>
          <x:t xml:space="preserve">Pending Verification</x:t>
        </x:is>
      </x:c>
      <x:c r="L219" s="5" t="inlineStr">
        <x:is>
          <x:t xml:space="preserve">Verified</x:t>
        </x:is>
      </x:c>
      <x:c r="M219" s="9" t="n">
        <x:v>28</x:v>
      </x:c>
      <x:c r="N219" s="9" t="n">
        <x:v>0</x:v>
      </x:c>
      <x:c r="O219" s="5" t="inlineStr">
        <x:is>
          <x:t xml:space="preserve">Hold</x:t>
        </x:is>
      </x:c>
    </x:row>
    <x:row r="220">
      <x:c r="A220" s="5" t="inlineStr">
        <x:is>
          <x:t xml:space="preserve">EMP57069</x:t>
        </x:is>
      </x:c>
      <x:c r="B220" s="6" t="inlineStr">
        <x:is>
          <x:t xml:space="preserve">William Nair</x:t>
        </x:is>
      </x:c>
      <x:c r="C220" s="6" t="inlineStr">
        <x:is>
          <x:t xml:space="preserve">Audit Support</x:t>
        </x:is>
      </x:c>
      <x:c r="D220" s="5" t="inlineStr">
        <x:is>
          <x:t xml:space="preserve">Gurgaon</x:t>
        </x:is>
      </x:c>
      <x:c r="E220" s="36" t="n">
        <x:v>45116</x:v>
      </x:c>
      <x:c r="F220" s="37" t="n">
        <x:v>33784</x:v>
      </x:c>
      <x:c r="G220" s="37" t="n">
        <x:v>11824</x:v>
      </x:c>
      <x:c r="H220" s="37" t="n">
        <x:v>7500</x:v>
      </x:c>
      <x:c r="I220" s="37" t="n">
        <x:v>5891</x:v>
      </x:c>
      <x:c r="J220" s="37" t="n">
        <x:v>47217</x:v>
      </x:c>
      <x:c r="K220" s="5" t="inlineStr">
        <x:is>
          <x:t xml:space="preserve">Verified</x:t>
        </x:is>
      </x:c>
      <x:c r="L220" s="5" t="inlineStr">
        <x:is>
          <x:t xml:space="preserve">Verified</x:t>
        </x:is>
      </x:c>
      <x:c r="M220" s="9" t="n">
        <x:v>30</x:v>
      </x:c>
      <x:c r="N220" s="9" t="n">
        <x:v>1</x:v>
      </x:c>
      <x:c r="O220" s="5" t="inlineStr">
        <x:is>
          <x:t xml:space="preserve">Processed</x:t>
        </x:is>
      </x:c>
    </x:row>
    <x:row r="221">
      <x:c r="A221" s="5" t="inlineStr">
        <x:is>
          <x:t xml:space="preserve">EMP71824</x:t>
        </x:is>
      </x:c>
      <x:c r="B221" s="6" t="inlineStr">
        <x:is>
          <x:t xml:space="preserve">Oliver Singh</x:t>
        </x:is>
      </x:c>
      <x:c r="C221" s="6" t="inlineStr">
        <x:is>
          <x:t xml:space="preserve">Consulting Ops</x:t>
        </x:is>
      </x:c>
      <x:c r="D221" s="5" t="inlineStr">
        <x:is>
          <x:t xml:space="preserve">Pune</x:t>
        </x:is>
      </x:c>
      <x:c r="E221" s="36" t="n">
        <x:v>44600</x:v>
      </x:c>
      <x:c r="F221" s="37" t="n">
        <x:v>65048</x:v>
      </x:c>
      <x:c r="G221" s="37" t="n">
        <x:v>22767</x:v>
      </x:c>
      <x:c r="H221" s="37" t="n">
        <x:v>6000</x:v>
      </x:c>
      <x:c r="I221" s="37" t="n">
        <x:v>5371</x:v>
      </x:c>
      <x:c r="J221" s="37" t="n">
        <x:v>88444</x:v>
      </x:c>
      <x:c r="K221" s="5" t="inlineStr">
        <x:is>
          <x:t xml:space="preserve">Pending Verification</x:t>
        </x:is>
      </x:c>
      <x:c r="L221" s="5" t="inlineStr">
        <x:is>
          <x:t xml:space="preserve">Verified</x:t>
        </x:is>
      </x:c>
      <x:c r="M221" s="9" t="n">
        <x:v>30</x:v>
      </x:c>
      <x:c r="N221" s="9" t="n">
        <x:v>0</x:v>
      </x:c>
      <x:c r="O221" s="5" t="inlineStr">
        <x:is>
          <x:t xml:space="preserve">Processed</x:t>
        </x:is>
      </x:c>
    </x:row>
  </x:sheetData>
  <x:conditionalFormatting sqref="F2:F221">
    <x:cfRule type="expression" dxfId="0" priority="1">
      <x:formula>AND(F2&lt;&gt;"",NOT(ISNUMBER(F2)))</x:formula>
    </x:cfRule>
  </x:conditionalFormatting>
  <x:conditionalFormatting sqref="I2:I221">
    <x:cfRule type="cellIs" dxfId="0" priority="2" operator="lessThan">
      <x:formula>0</x:formula>
    </x:cfRule>
  </x:conditionalFormatting>
  <x:conditionalFormatting sqref="M2:M221">
    <x:cfRule type="cellIs" dxfId="0" priority="3" operator="greaterThan">
      <x:formula>31</x:formula>
    </x:cfRule>
  </x:conditionalFormatting>
  <x:conditionalFormatting sqref="O2:O221">
    <x:cfRule type="expression" dxfId="1" priority="4">
      <x:formula>COUNTIF({"Processed","Pending","Hold"},O2)=0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73b6f33d6444b86"/>
  </x:tableParts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4" customWidth="1"/>
    <x:col min="2" max="2" width="22" customWidth="1"/>
    <x:col min="3" max="3" width="20" customWidth="1"/>
    <x:col min="4" max="4" width="14" customWidth="1"/>
    <x:col min="5" max="5" width="14" customWidth="1"/>
    <x:col min="6" max="6" width="14" customWidth="1"/>
    <x:col min="7" max="7" width="12" customWidth="1"/>
    <x:col min="8" max="8" width="12" customWidth="1"/>
    <x:col min="9" max="9" width="12" customWidth="1"/>
    <x:col min="10" max="10" width="14" customWidth="1"/>
    <x:col min="11" max="11" width="18" customWidth="1"/>
    <x:col min="12" max="12" width="12" customWidth="1"/>
    <x:col min="13" max="13" width="14" customWidth="1"/>
    <x:col min="14" max="14" width="12" customWidth="1"/>
    <x:col min="15" max="15" width="14" customWidth="1"/>
  </x:cols>
  <x:sheetData>
    <x:row r="1" ht="34.5" customHeight="1">
      <x:c r="A1" s="2" t="inlineStr">
        <x:is>
          <x:t xml:space="preserve">Employee ID</x:t>
        </x:is>
      </x:c>
      <x:c r="B1" s="2" t="inlineStr">
        <x:is>
          <x:t xml:space="preserve">Employee Name</x:t>
        </x:is>
      </x:c>
      <x:c r="C1" s="2" t="inlineStr">
        <x:is>
          <x:t xml:space="preserve">Department</x:t>
        </x:is>
      </x:c>
      <x:c r="D1" s="2" t="inlineStr">
        <x:is>
          <x:t xml:space="preserve">Location</x:t>
        </x:is>
      </x:c>
      <x:c r="E1" s="2" t="inlineStr">
        <x:is>
          <x:t xml:space="preserve">Joining Date</x:t>
        </x:is>
      </x:c>
      <x:c r="F1" s="2" t="inlineStr">
        <x:is>
          <x:t xml:space="preserve">Basic Salary</x:t>
        </x:is>
      </x:c>
      <x:c r="G1" s="2" t="inlineStr">
        <x:is>
          <x:t xml:space="preserve">HRA</x:t>
        </x:is>
      </x:c>
      <x:c r="H1" s="2" t="inlineStr">
        <x:is>
          <x:t xml:space="preserve">Allowances</x:t>
        </x:is>
      </x:c>
      <x:c r="I1" s="2" t="inlineStr">
        <x:is>
          <x:t xml:space="preserve">Deductions</x:t>
        </x:is>
      </x:c>
      <x:c r="J1" s="2" t="inlineStr">
        <x:is>
          <x:t xml:space="preserve">Net Pay</x:t>
        </x:is>
      </x:c>
      <x:c r="K1" s="2" t="inlineStr">
        <x:is>
          <x:t xml:space="preserve">Bank Account Status</x:t>
        </x:is>
      </x:c>
      <x:c r="L1" s="2" t="inlineStr">
        <x:is>
          <x:t xml:space="preserve">PAN Status</x:t>
        </x:is>
      </x:c>
      <x:c r="M1" s="2" t="inlineStr">
        <x:is>
          <x:t xml:space="preserve">Attendance Days</x:t>
        </x:is>
      </x:c>
      <x:c r="N1" s="2" t="inlineStr">
        <x:is>
          <x:t xml:space="preserve">Leave Taken</x:t>
        </x:is>
      </x:c>
      <x:c r="O1" s="2" t="inlineStr">
        <x:is>
          <x:t xml:space="preserve">Payroll Status</x:t>
        </x:is>
      </x:c>
    </x:row>
    <x:row r="2">
      <x:c r="A2" s="5" t="inlineStr">
        <x:is>
          <x:t xml:space="preserve">EMP93810</x:t>
        </x:is>
      </x:c>
      <x:c r="B2" s="6" t="inlineStr">
        <x:is>
          <x:t xml:space="preserve">Deepika Anderson</x:t>
        </x:is>
      </x:c>
      <x:c r="C2" s="6" t="inlineStr">
        <x:is>
          <x:t xml:space="preserve">Talent Ops</x:t>
        </x:is>
      </x:c>
      <x:c r="D2" s="5" t="inlineStr">
        <x:is>
          <x:t xml:space="preserve">Pune</x:t>
        </x:is>
      </x:c>
      <x:c r="E2" s="36" t="n">
        <x:v>44644</x:v>
      </x:c>
      <x:c r="F2" s="38" t="n">
        <x:v>28717</x:v>
      </x:c>
      <x:c r="G2" s="38" t="n">
        <x:v>12923</x:v>
      </x:c>
      <x:c r="H2" s="38" t="n">
        <x:v>2500</x:v>
      </x:c>
      <x:c r="I2" s="38" t="n">
        <x:v>5837</x:v>
      </x:c>
      <x:c r="J2" s="39">
        <x:f>F2+G2+H2-I2</x:f>
        <x:v>38303</x:v>
      </x:c>
      <x:c r="K2" s="12" t="inlineStr">
        <x:is>
          <x:t xml:space="preserve">Active</x:t>
        </x:is>
      </x:c>
      <x:c r="L2" s="12" t="inlineStr">
        <x:is>
          <x:t xml:space="preserve">Verified</x:t>
        </x:is>
      </x:c>
      <x:c r="M2" s="12" t="n">
        <x:v>18</x:v>
      </x:c>
      <x:c r="N2" s="12" t="n">
        <x:v>1</x:v>
      </x:c>
      <x:c r="O2" s="12" t="inlineStr">
        <x:is>
          <x:t xml:space="preserve">Processed</x:t>
        </x:is>
      </x:c>
    </x:row>
    <x:row r="3">
      <x:c r="A3" s="5" t="inlineStr">
        <x:is>
          <x:t xml:space="preserve">EMP76237</x:t>
        </x:is>
      </x:c>
      <x:c r="B3" s="6" t="inlineStr">
        <x:is>
          <x:t xml:space="preserve">Aisha Nair</x:t>
        </x:is>
      </x:c>
      <x:c r="C3" s="6" t="inlineStr">
        <x:is>
          <x:t xml:space="preserve">Benefits Team</x:t>
        </x:is>
      </x:c>
      <x:c r="D3" s="5" t="inlineStr">
        <x:is>
          <x:t xml:space="preserve">Noida</x:t>
        </x:is>
      </x:c>
      <x:c r="E3" s="36" t="n">
        <x:v>44792</x:v>
      </x:c>
      <x:c r="F3" s="38" t="n">
        <x:v>40231</x:v>
      </x:c>
      <x:c r="G3" s="38" t="n">
        <x:v>14081</x:v>
      </x:c>
      <x:c r="H3" s="38" t="n">
        <x:v>3000</x:v>
      </x:c>
      <x:c r="I3" s="38" t="n">
        <x:v>6719</x:v>
      </x:c>
      <x:c r="J3" s="39">
        <x:f>F3+G3+H3-I3</x:f>
        <x:v>50593</x:v>
      </x:c>
      <x:c r="K3" s="12" t="inlineStr">
        <x:is>
          <x:t xml:space="preserve">Active</x:t>
        </x:is>
      </x:c>
      <x:c r="L3" s="12" t="inlineStr">
        <x:is>
          <x:t xml:space="preserve">Pending</x:t>
        </x:is>
      </x:c>
      <x:c r="M3" s="12" t="n">
        <x:v>22</x:v>
      </x:c>
      <x:c r="N3" s="12" t="n">
        <x:v>2</x:v>
      </x:c>
      <x:c r="O3" s="12" t="inlineStr">
        <x:is>
          <x:t xml:space="preserve">Processed</x:t>
        </x:is>
      </x:c>
    </x:row>
    <x:row r="4">
      <x:c r="A4" s="5" t="inlineStr">
        <x:is>
          <x:t xml:space="preserve">EMP54118</x:t>
        </x:is>
      </x:c>
      <x:c r="B4" s="6" t="inlineStr">
        <x:is>
          <x:t xml:space="preserve">David Brown</x:t>
        </x:is>
      </x:c>
      <x:c r="C4" s="6" t="inlineStr">
        <x:is>
          <x:t xml:space="preserve">Risk Advisory</x:t>
        </x:is>
      </x:c>
      <x:c r="D4" s="5" t="inlineStr">
        <x:is>
          <x:t xml:space="preserve">Bengaluru</x:t>
        </x:is>
      </x:c>
      <x:c r="E4" s="36" t="n">
        <x:v>45097</x:v>
      </x:c>
      <x:c r="F4" s="38" t="n">
        <x:v>39335</x:v>
      </x:c>
      <x:c r="G4" s="38" t="n">
        <x:v>13767</x:v>
      </x:c>
      <x:c r="H4" s="38" t="n">
        <x:v>12000</x:v>
      </x:c>
      <x:c r="I4" s="38" t="n">
        <x:v>5392</x:v>
      </x:c>
      <x:c r="J4" s="39">
        <x:f>F4+G4+H4-I4</x:f>
        <x:v>59710</x:v>
      </x:c>
      <x:c r="K4" s="12" t="inlineStr">
        <x:is>
          <x:t xml:space="preserve">Verified</x:t>
        </x:is>
      </x:c>
      <x:c r="L4" s="12" t="inlineStr">
        <x:is>
          <x:t xml:space="preserve">Pending</x:t>
        </x:is>
      </x:c>
      <x:c r="M4" s="12" t="n">
        <x:v>19</x:v>
      </x:c>
      <x:c r="N4" s="12" t="n">
        <x:v>8</x:v>
      </x:c>
      <x:c r="O4" s="12" t="inlineStr">
        <x:is>
          <x:t xml:space="preserve">Processed</x:t>
        </x:is>
      </x:c>
    </x:row>
    <x:row r="5">
      <x:c r="A5" s="5" t="inlineStr">
        <x:is>
          <x:t xml:space="preserve">EMP92397</x:t>
        </x:is>
      </x:c>
      <x:c r="B5" s="6" t="inlineStr">
        <x:is>
          <x:t xml:space="preserve">Pooja Patel</x:t>
        </x:is>
      </x:c>
      <x:c r="C5" s="6" t="inlineStr">
        <x:is>
          <x:t xml:space="preserve">Benefits Team</x:t>
        </x:is>
      </x:c>
      <x:c r="D5" s="5" t="inlineStr">
        <x:is>
          <x:t xml:space="preserve">Bengaluru</x:t>
        </x:is>
      </x:c>
      <x:c r="E5" s="36" t="n">
        <x:v>44508</x:v>
      </x:c>
      <x:c r="F5" s="38" t="n">
        <x:v>72663</x:v>
      </x:c>
      <x:c r="G5" s="38" t="n">
        <x:v>29065</x:v>
      </x:c>
      <x:c r="H5" s="38" t="n">
        <x:v>2500</x:v>
      </x:c>
      <x:c r="I5" s="38" t="n">
        <x:v>2907</x:v>
      </x:c>
      <x:c r="J5" s="39">
        <x:f>F5+G5+H5-I5</x:f>
        <x:v>101321</x:v>
      </x:c>
      <x:c r="K5" s="12" t="inlineStr">
        <x:is>
          <x:t xml:space="preserve">Verified</x:t>
        </x:is>
      </x:c>
      <x:c r="L5" s="12" t="inlineStr">
        <x:is>
          <x:t xml:space="preserve">Pending</x:t>
        </x:is>
      </x:c>
      <x:c r="M5" s="12" t="n">
        <x:v>22</x:v>
      </x:c>
      <x:c r="N5" s="12" t="n">
        <x:v>7</x:v>
      </x:c>
      <x:c r="O5" s="12" t="inlineStr">
        <x:is>
          <x:t xml:space="preserve">Processed</x:t>
        </x:is>
      </x:c>
    </x:row>
    <x:row r="6">
      <x:c r="A6" s="5" t="inlineStr">
        <x:is>
          <x:t xml:space="preserve">EMP57819</x:t>
        </x:is>
      </x:c>
      <x:c r="B6" s="6" t="inlineStr">
        <x:is>
          <x:t xml:space="preserve">Ethan Kumar</x:t>
        </x:is>
      </x:c>
      <x:c r="C6" s="6" t="inlineStr">
        <x:is>
          <x:t xml:space="preserve">IT Support</x:t>
        </x:is>
      </x:c>
      <x:c r="D6" s="5" t="inlineStr">
        <x:is>
          <x:t xml:space="preserve">Pune</x:t>
        </x:is>
      </x:c>
      <x:c r="E6" s="36" t="n">
        <x:v>45282</x:v>
      </x:c>
      <x:c r="F6" s="38" t="n">
        <x:v>64469</x:v>
      </x:c>
      <x:c r="G6" s="38" t="n">
        <x:v>22564</x:v>
      </x:c>
      <x:c r="H6" s="38" t="n">
        <x:v>3000</x:v>
      </x:c>
      <x:c r="I6" s="38" t="n">
        <x:v>5375</x:v>
      </x:c>
      <x:c r="J6" s="39">
        <x:f>F6+G6+H6-I6</x:f>
        <x:v>84658</x:v>
      </x:c>
      <x:c r="K6" s="12" t="inlineStr">
        <x:is>
          <x:t xml:space="preserve">Pending Verification</x:t>
        </x:is>
      </x:c>
      <x:c r="L6" s="12" t="inlineStr">
        <x:is>
          <x:t xml:space="preserve">Verified</x:t>
        </x:is>
      </x:c>
      <x:c r="M6" s="12" t="n">
        <x:v>20</x:v>
      </x:c>
      <x:c r="N6" s="12" t="n">
        <x:v>7</x:v>
      </x:c>
      <x:c r="O6" s="12" t="inlineStr">
        <x:is>
          <x:t xml:space="preserve">Processed</x:t>
        </x:is>
      </x:c>
    </x:row>
    <x:row r="7">
      <x:c r="A7" s="5" t="inlineStr">
        <x:is>
          <x:t xml:space="preserve">EMP93886</x:t>
        </x:is>
      </x:c>
      <x:c r="B7" s="6" t="inlineStr">
        <x:is>
          <x:t xml:space="preserve">James Reddy</x:t>
        </x:is>
      </x:c>
      <x:c r="C7" s="6" t="inlineStr">
        <x:is>
          <x:t xml:space="preserve">IT Support</x:t>
        </x:is>
      </x:c>
      <x:c r="D7" s="5" t="inlineStr">
        <x:is>
          <x:t xml:space="preserve">Hyderabad</x:t>
        </x:is>
      </x:c>
      <x:c r="E7" s="36" t="n">
        <x:v>44587</x:v>
      </x:c>
      <x:c r="F7" s="38" t="n">
        <x:v>42673</x:v>
      </x:c>
      <x:c r="G7" s="38" t="n">
        <x:v>17069</x:v>
      </x:c>
      <x:c r="H7" s="38" t="n">
        <x:v>6000</x:v>
      </x:c>
      <x:c r="I7" s="38" t="n">
        <x:v>1542</x:v>
      </x:c>
      <x:c r="J7" s="39">
        <x:f>F7+G7+H7-I7</x:f>
        <x:v>64200</x:v>
      </x:c>
      <x:c r="K7" s="12" t="inlineStr">
        <x:is>
          <x:t xml:space="preserve">Verified</x:t>
        </x:is>
      </x:c>
      <x:c r="L7" s="12" t="inlineStr">
        <x:is>
          <x:t xml:space="preserve">Pending</x:t>
        </x:is>
      </x:c>
      <x:c r="M7" s="12" t="n">
        <x:v>21</x:v>
      </x:c>
      <x:c r="N7" s="12" t="n">
        <x:v>7</x:v>
      </x:c>
      <x:c r="O7" s="12" t="inlineStr">
        <x:is>
          <x:t xml:space="preserve">Processed</x:t>
        </x:is>
      </x:c>
    </x:row>
    <x:row r="8">
      <x:c r="A8" s="5" t="inlineStr">
        <x:is>
          <x:t xml:space="preserve">EMP94259</x:t>
        </x:is>
      </x:c>
      <x:c r="B8" s="6" t="inlineStr">
        <x:is>
          <x:t xml:space="preserve">Vikram Desai</x:t>
        </x:is>
      </x:c>
      <x:c r="C8" s="6" t="inlineStr">
        <x:is>
          <x:t xml:space="preserve">Talent Ops</x:t>
        </x:is>
      </x:c>
      <x:c r="D8" s="5" t="inlineStr">
        <x:is>
          <x:t xml:space="preserve">Mumbai</x:t>
        </x:is>
      </x:c>
      <x:c r="E8" s="36" t="n">
        <x:v>44913</x:v>
      </x:c>
      <x:c r="F8" s="38" t="n">
        <x:v>57322</x:v>
      </x:c>
      <x:c r="G8" s="38" t="n">
        <x:v>22929</x:v>
      </x:c>
      <x:c r="H8" s="38" t="n">
        <x:v>9000</x:v>
      </x:c>
      <x:c r="I8" s="38" t="n">
        <x:v>5780</x:v>
      </x:c>
      <x:c r="J8" s="39">
        <x:f>F8+G8+H8-I8</x:f>
        <x:v>83471</x:v>
      </x:c>
      <x:c r="K8" s="12" t="inlineStr">
        <x:is>
          <x:t xml:space="preserve">Active</x:t>
        </x:is>
      </x:c>
      <x:c r="L8" s="12" t="inlineStr">
        <x:is>
          <x:t xml:space="preserve">Pending</x:t>
        </x:is>
      </x:c>
      <x:c r="M8" s="12" t="n">
        <x:v>21</x:v>
      </x:c>
      <x:c r="N8" s="12" t="n">
        <x:v>2</x:v>
      </x:c>
      <x:c r="O8" s="12" t="inlineStr">
        <x:is>
          <x:t xml:space="preserve">Processed</x:t>
        </x:is>
      </x:c>
    </x:row>
    <x:row r="9">
      <x:c r="A9" s="5" t="inlineStr">
        <x:is>
          <x:t xml:space="preserve">EMP21915</x:t>
        </x:is>
      </x:c>
      <x:c r="B9" s="6" t="inlineStr">
        <x:is>
          <x:t xml:space="preserve">Amira Thompson</x:t>
        </x:is>
      </x:c>
      <x:c r="C9" s="6" t="inlineStr">
        <x:is>
          <x:t xml:space="preserve">HR Shared Services</x:t>
        </x:is>
      </x:c>
      <x:c r="D9" s="5" t="inlineStr">
        <x:is>
          <x:t xml:space="preserve">Mumbai</x:t>
        </x:is>
      </x:c>
      <x:c r="E9" s="36" t="n">
        <x:v>44879</x:v>
      </x:c>
      <x:c r="F9" s="38" t="n">
        <x:v>61086</x:v>
      </x:c>
      <x:c r="G9" s="38" t="n">
        <x:v>21380</x:v>
      </x:c>
      <x:c r="H9" s="38" t="n">
        <x:v>9000</x:v>
      </x:c>
      <x:c r="I9" s="38" t="n">
        <x:v>4126</x:v>
      </x:c>
      <x:c r="J9" s="39">
        <x:f>F9+G9+H9-I9</x:f>
        <x:v>87340</x:v>
      </x:c>
      <x:c r="K9" s="12" t="inlineStr">
        <x:is>
          <x:t xml:space="preserve">Pending Verification</x:t>
        </x:is>
      </x:c>
      <x:c r="L9" s="12" t="inlineStr">
        <x:is>
          <x:t xml:space="preserve">Pending</x:t>
        </x:is>
      </x:c>
      <x:c r="M9" s="12" t="n">
        <x:v>26</x:v>
      </x:c>
      <x:c r="N9" s="12" t="n">
        <x:v>2</x:v>
      </x:c>
      <x:c r="O9" s="12" t="inlineStr">
        <x:is>
          <x:t xml:space="preserve">Hold</x:t>
        </x:is>
      </x:c>
    </x:row>
    <x:row r="10">
      <x:c r="A10" s="5" t="inlineStr">
        <x:is>
          <x:t xml:space="preserve">EMP11504</x:t>
        </x:is>
      </x:c>
      <x:c r="B10" s="6" t="inlineStr">
        <x:is>
          <x:t xml:space="preserve">Deepika Reddy</x:t>
        </x:is>
      </x:c>
      <x:c r="C10" s="6" t="inlineStr">
        <x:is>
          <x:t xml:space="preserve">Tax Support</x:t>
        </x:is>
      </x:c>
      <x:c r="D10" s="5" t="inlineStr">
        <x:is>
          <x:t xml:space="preserve">Chennai</x:t>
        </x:is>
      </x:c>
      <x:c r="E10" s="36" t="n">
        <x:v>44967</x:v>
      </x:c>
      <x:c r="F10" s="38" t="n">
        <x:v>50492</x:v>
      </x:c>
      <x:c r="G10" s="38" t="n">
        <x:v>17672</x:v>
      </x:c>
      <x:c r="H10" s="38" t="n">
        <x:v>12000</x:v>
      </x:c>
      <x:c r="I10" s="38" t="n">
        <x:v>1026</x:v>
      </x:c>
      <x:c r="J10" s="39">
        <x:f>F10+G10+H10-I10</x:f>
        <x:v>79138</x:v>
      </x:c>
      <x:c r="K10" s="12" t="inlineStr">
        <x:is>
          <x:t xml:space="preserve">Pending Verification</x:t>
        </x:is>
      </x:c>
      <x:c r="L10" s="12" t="inlineStr">
        <x:is>
          <x:t xml:space="preserve">Pending</x:t>
        </x:is>
      </x:c>
      <x:c r="M10" s="12" t="n">
        <x:v>26</x:v>
      </x:c>
      <x:c r="N10" s="12" t="n">
        <x:v>1</x:v>
      </x:c>
      <x:c r="O10" s="12" t="inlineStr">
        <x:is>
          <x:t xml:space="preserve">Processed</x:t>
        </x:is>
      </x:c>
    </x:row>
    <x:row r="11">
      <x:c r="A11" s="5" t="inlineStr">
        <x:is>
          <x:t xml:space="preserve">EMP23947</x:t>
        </x:is>
      </x:c>
      <x:c r="B11" s="6" t="inlineStr">
        <x:is>
          <x:t xml:space="preserve">Meera Thomas</x:t>
        </x:is>
      </x:c>
      <x:c r="C11" s="6" t="inlineStr">
        <x:is>
          <x:t xml:space="preserve">Tax Support</x:t>
        </x:is>
      </x:c>
      <x:c r="D11" s="5" t="inlineStr">
        <x:is>
          <x:t xml:space="preserve">Pune</x:t>
        </x:is>
      </x:c>
      <x:c r="E11" s="36" t="n">
        <x:v>44737</x:v>
      </x:c>
      <x:c r="F11" s="38" t="n">
        <x:v>32587</x:v>
      </x:c>
      <x:c r="G11" s="38" t="n">
        <x:v>14664</x:v>
      </x:c>
      <x:c r="H11" s="38" t="n">
        <x:v>1500</x:v>
      </x:c>
      <x:c r="I11" s="38" t="n">
        <x:v>5906</x:v>
      </x:c>
      <x:c r="J11" s="39">
        <x:f>F11+G11+H11-I11</x:f>
        <x:v>42845</x:v>
      </x:c>
      <x:c r="K11" s="12" t="inlineStr">
        <x:is>
          <x:t xml:space="preserve">Active</x:t>
        </x:is>
      </x:c>
      <x:c r="L11" s="12" t="inlineStr">
        <x:is>
          <x:t xml:space="preserve">Pending</x:t>
        </x:is>
      </x:c>
      <x:c r="M11" s="12" t="n">
        <x:v>18</x:v>
      </x:c>
      <x:c r="N11" s="12" t="n">
        <x:v>1</x:v>
      </x:c>
      <x:c r="O11" s="12" t="inlineStr">
        <x:is>
          <x:t xml:space="preserve">Pending</x:t>
        </x:is>
      </x:c>
    </x:row>
    <x:row r="12">
      <x:c r="A12" s="5" t="inlineStr">
        <x:is>
          <x:t xml:space="preserve">EMP50306</x:t>
        </x:is>
      </x:c>
      <x:c r="B12" s="6" t="inlineStr">
        <x:is>
          <x:t xml:space="preserve">Kavya Bose</x:t>
        </x:is>
      </x:c>
      <x:c r="C12" s="6" t="inlineStr">
        <x:is>
          <x:t xml:space="preserve">Benefits Team</x:t>
        </x:is>
      </x:c>
      <x:c r="D12" s="5" t="inlineStr">
        <x:is>
          <x:t xml:space="preserve">Bengaluru</x:t>
        </x:is>
      </x:c>
      <x:c r="E12" s="36" t="n">
        <x:v>44546</x:v>
      </x:c>
      <x:c r="F12" s="38" t="n">
        <x:v>75478</x:v>
      </x:c>
      <x:c r="G12" s="38" t="n">
        <x:v>26417</x:v>
      </x:c>
      <x:c r="H12" s="38" t="n">
        <x:v>3000</x:v>
      </x:c>
      <x:c r="I12" s="38" t="n">
        <x:v>2051</x:v>
      </x:c>
      <x:c r="J12" s="39">
        <x:f>F12+G12+H12-I12</x:f>
        <x:v>102844</x:v>
      </x:c>
      <x:c r="K12" s="12" t="inlineStr">
        <x:is>
          <x:t xml:space="preserve">Pending Verification</x:t>
        </x:is>
      </x:c>
      <x:c r="L12" s="12" t="inlineStr">
        <x:is>
          <x:t xml:space="preserve">Pending</x:t>
        </x:is>
      </x:c>
      <x:c r="M12" s="12" t="n">
        <x:v>26</x:v>
      </x:c>
      <x:c r="N12" s="12" t="n">
        <x:v>7</x:v>
      </x:c>
      <x:c r="O12" s="12" t="inlineStr">
        <x:is>
          <x:t xml:space="preserve">Processed</x:t>
        </x:is>
      </x:c>
    </x:row>
    <x:row r="13">
      <x:c r="A13" s="5" t="inlineStr">
        <x:is>
          <x:t xml:space="preserve">EMP89507</x:t>
        </x:is>
      </x:c>
      <x:c r="B13" s="6" t="inlineStr">
        <x:is>
          <x:t xml:space="preserve">Sneha Harris</x:t>
        </x:is>
      </x:c>
      <x:c r="C13" s="6" t="inlineStr">
        <x:is>
          <x:t xml:space="preserve">Tax Support</x:t>
        </x:is>
      </x:c>
      <x:c r="D13" s="5" t="inlineStr">
        <x:is>
          <x:t xml:space="preserve">Pune</x:t>
        </x:is>
      </x:c>
      <x:c r="E13" s="36" t="n">
        <x:v>45129</x:v>
      </x:c>
      <x:c r="F13" s="38" t="n">
        <x:v>64590</x:v>
      </x:c>
      <x:c r="G13" s="38" t="n">
        <x:v>25836</x:v>
      </x:c>
      <x:c r="H13" s="38" t="n">
        <x:v>12000</x:v>
      </x:c>
      <x:c r="I13" s="38" t="n">
        <x:v>5239</x:v>
      </x:c>
      <x:c r="J13" s="39">
        <x:f>F13+G13+H13-I13</x:f>
        <x:v>97187</x:v>
      </x:c>
      <x:c r="K13" s="12" t="inlineStr">
        <x:is>
          <x:t xml:space="preserve">Active</x:t>
        </x:is>
      </x:c>
      <x:c r="L13" s="12" t="inlineStr">
        <x:is>
          <x:t xml:space="preserve">Verified</x:t>
        </x:is>
      </x:c>
      <x:c r="M13" s="12" t="n">
        <x:v>21</x:v>
      </x:c>
      <x:c r="N13" s="12" t="n">
        <x:v>3</x:v>
      </x:c>
      <x:c r="O13" s="12" t="inlineStr">
        <x:is>
          <x:t xml:space="preserve">Processed</x:t>
        </x:is>
      </x:c>
    </x:row>
    <x:row r="14">
      <x:c r="A14" s="5" t="inlineStr">
        <x:is>
          <x:t xml:space="preserve">EMP12757</x:t>
        </x:is>
      </x:c>
      <x:c r="B14" s="6" t="inlineStr">
        <x:is>
          <x:t xml:space="preserve">James Patel</x:t>
        </x:is>
      </x:c>
      <x:c r="C14" s="6" t="inlineStr">
        <x:is>
          <x:t xml:space="preserve">Benefits Team</x:t>
        </x:is>
      </x:c>
      <x:c r="D14" s="5" t="inlineStr">
        <x:is>
          <x:t xml:space="preserve">Hyderabad</x:t>
        </x:is>
      </x:c>
      <x:c r="E14" s="36" t="n">
        <x:v>44551</x:v>
      </x:c>
      <x:c r="F14" s="38" t="n">
        <x:v>25858</x:v>
      </x:c>
      <x:c r="G14" s="38" t="n">
        <x:v>9050</x:v>
      </x:c>
      <x:c r="H14" s="38" t="n">
        <x:v>2500</x:v>
      </x:c>
      <x:c r="I14" s="38" t="n">
        <x:v>1257</x:v>
      </x:c>
      <x:c r="J14" s="39">
        <x:f>F14+G14+H14-I14</x:f>
        <x:v>36151</x:v>
      </x:c>
      <x:c r="K14" s="12" t="inlineStr">
        <x:is>
          <x:t xml:space="preserve">Active</x:t>
        </x:is>
      </x:c>
      <x:c r="L14" s="12" t="inlineStr">
        <x:is>
          <x:t xml:space="preserve">Verified</x:t>
        </x:is>
      </x:c>
      <x:c r="M14" s="12" t="n">
        <x:v>26</x:v>
      </x:c>
      <x:c r="N14" s="12" t="n">
        <x:v>1</x:v>
      </x:c>
      <x:c r="O14" s="12" t="inlineStr">
        <x:is>
          <x:t xml:space="preserve">Processed</x:t>
        </x:is>
      </x:c>
    </x:row>
    <x:row r="15">
      <x:c r="A15" s="5" t="inlineStr">
        <x:is>
          <x:t xml:space="preserve">EMP73624</x:t>
        </x:is>
      </x:c>
      <x:c r="B15" s="6" t="inlineStr">
        <x:is>
          <x:t xml:space="preserve">Isla Nair</x:t>
        </x:is>
      </x:c>
      <x:c r="C15" s="6" t="inlineStr">
        <x:is>
          <x:t xml:space="preserve">Finance Ops</x:t>
        </x:is>
      </x:c>
      <x:c r="D15" s="5" t="inlineStr">
        <x:is>
          <x:t xml:space="preserve">Kolkata</x:t>
        </x:is>
      </x:c>
      <x:c r="E15" s="36" t="n">
        <x:v>44799</x:v>
      </x:c>
      <x:c r="F15" s="38" t="n">
        <x:v>48677</x:v>
      </x:c>
      <x:c r="G15" s="38" t="n">
        <x:v>17037</x:v>
      </x:c>
      <x:c r="H15" s="38" t="n">
        <x:v>2500</x:v>
      </x:c>
      <x:c r="I15" s="38" t="n">
        <x:v>1794</x:v>
      </x:c>
      <x:c r="J15" s="39">
        <x:f>F15+G15+H15-I15</x:f>
        <x:v>66420</x:v>
      </x:c>
      <x:c r="K15" s="12" t="inlineStr">
        <x:is>
          <x:t xml:space="preserve">Pending Verification</x:t>
        </x:is>
      </x:c>
      <x:c r="L15" s="12" t="inlineStr">
        <x:is>
          <x:t xml:space="preserve">Pending</x:t>
        </x:is>
      </x:c>
      <x:c r="M15" s="12" t="n">
        <x:v>23</x:v>
      </x:c>
      <x:c r="N15" s="12" t="n">
        <x:v>6</x:v>
      </x:c>
      <x:c r="O15" s="12" t="inlineStr">
        <x:is>
          <x:t xml:space="preserve">Processed</x:t>
        </x:is>
      </x:c>
    </x:row>
    <x:row r="16">
      <x:c r="A16" s="5" t="inlineStr">
        <x:is>
          <x:t xml:space="preserve">EMP17100</x:t>
        </x:is>
      </x:c>
      <x:c r="B16" s="6" t="inlineStr">
        <x:is>
          <x:t xml:space="preserve">David Bose</x:t>
        </x:is>
      </x:c>
      <x:c r="C16" s="6" t="inlineStr">
        <x:is>
          <x:t xml:space="preserve">Risk Advisory</x:t>
        </x:is>
      </x:c>
      <x:c r="D16" s="5" t="inlineStr">
        <x:is>
          <x:t xml:space="preserve">Gurgaon</x:t>
        </x:is>
      </x:c>
      <x:c r="E16" s="36" t="n">
        <x:v>44293</x:v>
      </x:c>
      <x:c r="F16" s="38" t="n">
        <x:v>34465</x:v>
      </x:c>
      <x:c r="G16" s="38" t="n">
        <x:v>15509</x:v>
      </x:c>
      <x:c r="H16" s="38" t="n">
        <x:v>12000</x:v>
      </x:c>
      <x:c r="I16" s="38" t="n">
        <x:v>2148</x:v>
      </x:c>
      <x:c r="J16" s="39">
        <x:f>F16+G16+H16-I16</x:f>
        <x:v>59826</x:v>
      </x:c>
      <x:c r="K16" s="12" t="inlineStr">
        <x:is>
          <x:t xml:space="preserve">Active</x:t>
        </x:is>
      </x:c>
      <x:c r="L16" s="12" t="inlineStr">
        <x:is>
          <x:t xml:space="preserve">Verified</x:t>
        </x:is>
      </x:c>
      <x:c r="M16" s="12" t="n">
        <x:v>22</x:v>
      </x:c>
      <x:c r="N16" s="12" t="n">
        <x:v>7</x:v>
      </x:c>
      <x:c r="O16" s="12" t="inlineStr">
        <x:is>
          <x:t xml:space="preserve">Processed</x:t>
        </x:is>
      </x:c>
    </x:row>
    <x:row r="17">
      <x:c r="A17" s="5" t="inlineStr">
        <x:is>
          <x:t xml:space="preserve">EMP19880</x:t>
        </x:is>
      </x:c>
      <x:c r="B17" s="6" t="inlineStr">
        <x:is>
          <x:t xml:space="preserve">Sophie Taylor</x:t>
        </x:is>
      </x:c>
      <x:c r="C17" s="6" t="inlineStr">
        <x:is>
          <x:t xml:space="preserve">Tax Support</x:t>
        </x:is>
      </x:c>
      <x:c r="D17" s="5" t="inlineStr">
        <x:is>
          <x:t xml:space="preserve">Bengaluru</x:t>
        </x:is>
      </x:c>
      <x:c r="E17" s="36" t="n">
        <x:v>44518</x:v>
      </x:c>
      <x:c r="F17" s="38" t="n">
        <x:v>76789</x:v>
      </x:c>
      <x:c r="G17" s="38" t="n">
        <x:v>26876</x:v>
      </x:c>
      <x:c r="H17" s="38" t="n">
        <x:v>2500</x:v>
      </x:c>
      <x:c r="I17" s="38" t="n">
        <x:v>7173</x:v>
      </x:c>
      <x:c r="J17" s="39">
        <x:f>F17+G17+H17-I17</x:f>
        <x:v>98992</x:v>
      </x:c>
      <x:c r="K17" s="12" t="inlineStr">
        <x:is>
          <x:t xml:space="preserve">Verified</x:t>
        </x:is>
      </x:c>
      <x:c r="L17" s="12" t="inlineStr">
        <x:is>
          <x:t xml:space="preserve">Verified</x:t>
        </x:is>
      </x:c>
      <x:c r="M17" s="12" t="n">
        <x:v>24</x:v>
      </x:c>
      <x:c r="N17" s="12" t="n">
        <x:v>7</x:v>
      </x:c>
      <x:c r="O17" s="12" t="inlineStr">
        <x:is>
          <x:t xml:space="preserve">Processed</x:t>
        </x:is>
      </x:c>
    </x:row>
    <x:row r="18">
      <x:c r="A18" s="5" t="inlineStr">
        <x:is>
          <x:t xml:space="preserve">EMP62565</x:t>
        </x:is>
      </x:c>
      <x:c r="B18" s="6" t="inlineStr">
        <x:is>
          <x:t xml:space="preserve">William Bose</x:t>
        </x:is>
      </x:c>
      <x:c r="C18" s="6" t="inlineStr">
        <x:is>
          <x:t xml:space="preserve">Risk Advisory</x:t>
        </x:is>
      </x:c>
      <x:c r="D18" s="5" t="inlineStr">
        <x:is>
          <x:t xml:space="preserve">Hyderabad</x:t>
        </x:is>
      </x:c>
      <x:c r="E18" s="36" t="n">
        <x:v>45438</x:v>
      </x:c>
      <x:c r="F18" s="38" t="n">
        <x:v>73454</x:v>
      </x:c>
      <x:c r="G18" s="38" t="n">
        <x:v>29382</x:v>
      </x:c>
      <x:c r="H18" s="38" t="n">
        <x:v>6000</x:v>
      </x:c>
      <x:c r="I18" s="38" t="n">
        <x:v>4465</x:v>
      </x:c>
      <x:c r="J18" s="39">
        <x:f>F18+G18+H18-I18</x:f>
        <x:v>104371</x:v>
      </x:c>
      <x:c r="K18" s="12" t="inlineStr">
        <x:is>
          <x:t xml:space="preserve">Pending Verification</x:t>
        </x:is>
      </x:c>
      <x:c r="L18" s="12" t="inlineStr">
        <x:is>
          <x:t xml:space="preserve">Pending</x:t>
        </x:is>
      </x:c>
      <x:c r="M18" s="12" t="n">
        <x:v>20</x:v>
      </x:c>
      <x:c r="N18" s="12" t="n">
        <x:v>3</x:v>
      </x:c>
      <x:c r="O18" s="12" t="inlineStr">
        <x:is>
          <x:t xml:space="preserve">Processed</x:t>
        </x:is>
      </x:c>
    </x:row>
    <x:row r="19">
      <x:c r="A19" s="5" t="inlineStr">
        <x:is>
          <x:t xml:space="preserve">EMP17665</x:t>
        </x:is>
      </x:c>
      <x:c r="B19" s="6" t="inlineStr">
        <x:is>
          <x:t xml:space="preserve">Amira Sharma</x:t>
        </x:is>
      </x:c>
      <x:c r="C19" s="6" t="inlineStr">
        <x:is>
          <x:t xml:space="preserve">IT Support</x:t>
        </x:is>
      </x:c>
      <x:c r="D19" s="5" t="inlineStr">
        <x:is>
          <x:t xml:space="preserve">Hyderabad</x:t>
        </x:is>
      </x:c>
      <x:c r="E19" s="36" t="n">
        <x:v>44485</x:v>
      </x:c>
      <x:c r="F19" s="38" t="n">
        <x:v>54954</x:v>
      </x:c>
      <x:c r="G19" s="38" t="n">
        <x:v>24729</x:v>
      </x:c>
      <x:c r="H19" s="38" t="n">
        <x:v>3000</x:v>
      </x:c>
      <x:c r="I19" s="38" t="n">
        <x:v>1465</x:v>
      </x:c>
      <x:c r="J19" s="39">
        <x:f>F19+G19+H19-I19</x:f>
        <x:v>81218</x:v>
      </x:c>
      <x:c r="K19" s="12" t="inlineStr">
        <x:is>
          <x:t xml:space="preserve">Pending Verification</x:t>
        </x:is>
      </x:c>
      <x:c r="L19" s="12" t="inlineStr">
        <x:is>
          <x:t xml:space="preserve">Verified</x:t>
        </x:is>
      </x:c>
      <x:c r="M19" s="12" t="n">
        <x:v>31</x:v>
      </x:c>
      <x:c r="N19" s="12" t="n">
        <x:v>0</x:v>
      </x:c>
      <x:c r="O19" s="12" t="inlineStr">
        <x:is>
          <x:t xml:space="preserve">Processed</x:t>
        </x:is>
      </x:c>
    </x:row>
    <x:row r="20">
      <x:c r="A20" s="5" t="inlineStr">
        <x:is>
          <x:t xml:space="preserve">EMP18907</x:t>
        </x:is>
      </x:c>
      <x:c r="B20" s="6" t="inlineStr">
        <x:is>
          <x:t xml:space="preserve">Kavya Lee</x:t>
        </x:is>
      </x:c>
      <x:c r="C20" s="6" t="inlineStr">
        <x:is>
          <x:t xml:space="preserve">HR Shared Services</x:t>
        </x:is>
      </x:c>
      <x:c r="D20" s="5" t="inlineStr">
        <x:is>
          <x:t xml:space="preserve">Pune</x:t>
        </x:is>
      </x:c>
      <x:c r="E20" s="36" t="n">
        <x:v>44472</x:v>
      </x:c>
      <x:c r="F20" s="38" t="n">
        <x:v>49474</x:v>
      </x:c>
      <x:c r="G20" s="38" t="n">
        <x:v>22263</x:v>
      </x:c>
      <x:c r="H20" s="38" t="n">
        <x:v>7500</x:v>
      </x:c>
      <x:c r="I20" s="38" t="n">
        <x:v>3136</x:v>
      </x:c>
      <x:c r="J20" s="39">
        <x:f>F20+G20+H20-I20</x:f>
        <x:v>76101</x:v>
      </x:c>
      <x:c r="K20" s="12" t="inlineStr">
        <x:is>
          <x:t xml:space="preserve">Verified</x:t>
        </x:is>
      </x:c>
      <x:c r="L20" s="12" t="inlineStr">
        <x:is>
          <x:t xml:space="preserve">Pending</x:t>
        </x:is>
      </x:c>
      <x:c r="M20" s="12" t="n">
        <x:v>21</x:v>
      </x:c>
      <x:c r="N20" s="12" t="n">
        <x:v>4</x:v>
      </x:c>
      <x:c r="O20" s="12" t="inlineStr">
        <x:is>
          <x:t xml:space="preserve">Processed</x:t>
        </x:is>
      </x:c>
    </x:row>
    <x:row r="21">
      <x:c r="A21" s="5" t="inlineStr">
        <x:is>
          <x:t xml:space="preserve">EMP98039</x:t>
        </x:is>
      </x:c>
      <x:c r="B21" s="6" t="inlineStr">
        <x:is>
          <x:t xml:space="preserve">Meera Mehta</x:t>
        </x:is>
      </x:c>
      <x:c r="C21" s="6" t="inlineStr">
        <x:is>
          <x:t xml:space="preserve">IT Support</x:t>
        </x:is>
      </x:c>
      <x:c r="D21" s="5" t="inlineStr">
        <x:is>
          <x:t xml:space="preserve">Bengaluru</x:t>
        </x:is>
      </x:c>
      <x:c r="E21" s="36" t="n">
        <x:v>44428</x:v>
      </x:c>
      <x:c r="F21" s="38" t="n">
        <x:v>58896</x:v>
      </x:c>
      <x:c r="G21" s="38" t="n">
        <x:v>20614</x:v>
      </x:c>
      <x:c r="H21" s="38" t="n">
        <x:v>2500</x:v>
      </x:c>
      <x:c r="I21" s="38" t="n">
        <x:v>5404</x:v>
      </x:c>
      <x:c r="J21" s="39">
        <x:f>F21+G21+H21-I21</x:f>
        <x:v>76606</x:v>
      </x:c>
      <x:c r="K21" s="12" t="inlineStr">
        <x:is>
          <x:t xml:space="preserve">Verified</x:t>
        </x:is>
      </x:c>
      <x:c r="L21" s="12" t="inlineStr">
        <x:is>
          <x:t xml:space="preserve">Pending</x:t>
        </x:is>
      </x:c>
      <x:c r="M21" s="12" t="n">
        <x:v>20</x:v>
      </x:c>
      <x:c r="N21" s="12" t="n">
        <x:v>5</x:v>
      </x:c>
      <x:c r="O21" s="12" t="inlineStr">
        <x:is>
          <x:t xml:space="preserve">Pending</x:t>
        </x:is>
      </x:c>
    </x:row>
    <x:row r="22">
      <x:c r="A22" s="5" t="inlineStr">
        <x:is>
          <x:t xml:space="preserve">EMP42018</x:t>
        </x:is>
      </x:c>
      <x:c r="B22" s="6" t="inlineStr">
        <x:is>
          <x:t xml:space="preserve">Pooja Johnson</x:t>
        </x:is>
      </x:c>
      <x:c r="C22" s="6" t="inlineStr">
        <x:is>
          <x:t xml:space="preserve">Finance Ops</x:t>
        </x:is>
      </x:c>
      <x:c r="D22" s="5" t="inlineStr">
        <x:is>
          <x:t xml:space="preserve">Kolkata</x:t>
        </x:is>
      </x:c>
      <x:c r="E22" s="36" t="n">
        <x:v>45225</x:v>
      </x:c>
      <x:c r="F22" s="38" t="n">
        <x:v>64858</x:v>
      </x:c>
      <x:c r="G22" s="38" t="n">
        <x:v>29186</x:v>
      </x:c>
      <x:c r="H22" s="38" t="n">
        <x:v>1500</x:v>
      </x:c>
      <x:c r="I22" s="38" t="n">
        <x:v>6471</x:v>
      </x:c>
      <x:c r="J22" s="39">
        <x:f>F22+G22+H22-I22</x:f>
        <x:v>89073</x:v>
      </x:c>
      <x:c r="K22" s="12" t="inlineStr">
        <x:is>
          <x:t xml:space="preserve">Pending Verification</x:t>
        </x:is>
      </x:c>
      <x:c r="L22" s="12" t="inlineStr">
        <x:is>
          <x:t xml:space="preserve">Pending</x:t>
        </x:is>
      </x:c>
      <x:c r="M22" s="12" t="n">
        <x:v>28</x:v>
      </x:c>
      <x:c r="N22" s="12" t="n">
        <x:v>0</x:v>
      </x:c>
      <x:c r="O22" s="12" t="inlineStr">
        <x:is>
          <x:t xml:space="preserve">Hold</x:t>
        </x:is>
      </x:c>
    </x:row>
    <x:row r="23">
      <x:c r="A23" s="5" t="inlineStr">
        <x:is>
          <x:t xml:space="preserve">EMP27601</x:t>
        </x:is>
      </x:c>
      <x:c r="B23" s="6" t="inlineStr">
        <x:is>
          <x:t xml:space="preserve">Kiran Davis</x:t>
        </x:is>
      </x:c>
      <x:c r="C23" s="6" t="inlineStr">
        <x:is>
          <x:t xml:space="preserve">HR Shared Services</x:t>
        </x:is>
      </x:c>
      <x:c r="D23" s="5" t="inlineStr">
        <x:is>
          <x:t xml:space="preserve">Mumbai</x:t>
        </x:is>
      </x:c>
      <x:c r="E23" s="36" t="n">
        <x:v>45066</x:v>
      </x:c>
      <x:c r="F23" s="38" t="n">
        <x:v>35803</x:v>
      </x:c>
      <x:c r="G23" s="38" t="n">
        <x:v>16111</x:v>
      </x:c>
      <x:c r="H23" s="38" t="n">
        <x:v>7500</x:v>
      </x:c>
      <x:c r="I23" s="38" t="n">
        <x:v>2667</x:v>
      </x:c>
      <x:c r="J23" s="39">
        <x:f>F23+G23+H23-I23</x:f>
        <x:v>56747</x:v>
      </x:c>
      <x:c r="K23" s="12" t="inlineStr">
        <x:is>
          <x:t xml:space="preserve">Pending Verification</x:t>
        </x:is>
      </x:c>
      <x:c r="L23" s="12" t="inlineStr">
        <x:is>
          <x:t xml:space="preserve">Pending</x:t>
        </x:is>
      </x:c>
      <x:c r="M23" s="12" t="n">
        <x:v>26</x:v>
      </x:c>
      <x:c r="N23" s="12" t="n">
        <x:v>3</x:v>
      </x:c>
      <x:c r="O23" s="12" t="inlineStr">
        <x:is>
          <x:t xml:space="preserve">Processed</x:t>
        </x:is>
      </x:c>
    </x:row>
    <x:row r="24">
      <x:c r="A24" s="5" t="inlineStr">
        <x:is>
          <x:t xml:space="preserve">EMP16658</x:t>
        </x:is>
      </x:c>
      <x:c r="B24" s="6" t="inlineStr">
        <x:is>
          <x:t xml:space="preserve">Arjun Rao</x:t>
        </x:is>
      </x:c>
      <x:c r="C24" s="6" t="inlineStr">
        <x:is>
          <x:t xml:space="preserve">Risk Advisory</x:t>
        </x:is>
      </x:c>
      <x:c r="D24" s="5" t="inlineStr">
        <x:is>
          <x:t xml:space="preserve">Chennai</x:t>
        </x:is>
      </x:c>
      <x:c r="E24" s="36" t="n">
        <x:v>44207</x:v>
      </x:c>
      <x:c r="F24" s="38" t="n">
        <x:v>72536</x:v>
      </x:c>
      <x:c r="G24" s="38" t="n">
        <x:v>25388</x:v>
      </x:c>
      <x:c r="H24" s="38" t="n">
        <x:v>6000</x:v>
      </x:c>
      <x:c r="I24" s="38" t="n">
        <x:v>2323</x:v>
      </x:c>
      <x:c r="J24" s="39">
        <x:f>F24+G24+H24-I24</x:f>
        <x:v>101601</x:v>
      </x:c>
      <x:c r="K24" s="12" t="inlineStr">
        <x:is>
          <x:t xml:space="preserve">Pending Verification</x:t>
        </x:is>
      </x:c>
      <x:c r="L24" s="12" t="inlineStr">
        <x:is>
          <x:t xml:space="preserve">Pending</x:t>
        </x:is>
      </x:c>
      <x:c r="M24" s="12" t="n">
        <x:v>26</x:v>
      </x:c>
      <x:c r="N24" s="12" t="n">
        <x:v>5</x:v>
      </x:c>
      <x:c r="O24" s="12" t="inlineStr">
        <x:is>
          <x:t xml:space="preserve">Processed</x:t>
        </x:is>
      </x:c>
    </x:row>
    <x:row r="25">
      <x:c r="A25" s="5" t="inlineStr">
        <x:is>
          <x:t xml:space="preserve">EMP11267</x:t>
        </x:is>
      </x:c>
      <x:c r="B25" s="6" t="inlineStr">
        <x:is>
          <x:t xml:space="preserve">Deepika Brown</x:t>
        </x:is>
      </x:c>
      <x:c r="C25" s="6" t="inlineStr">
        <x:is>
          <x:t xml:space="preserve">Finance Ops</x:t>
        </x:is>
      </x:c>
      <x:c r="D25" s="5" t="inlineStr">
        <x:is>
          <x:t xml:space="preserve">Hyderabad</x:t>
        </x:is>
      </x:c>
      <x:c r="E25" s="36" t="n">
        <x:v>45217</x:v>
      </x:c>
      <x:c r="F25" s="38" t="n">
        <x:v>31705</x:v>
      </x:c>
      <x:c r="G25" s="38" t="n">
        <x:v>12682</x:v>
      </x:c>
      <x:c r="H25" s="38" t="n">
        <x:v>3000</x:v>
      </x:c>
      <x:c r="I25" s="38" t="n">
        <x:v>1342</x:v>
      </x:c>
      <x:c r="J25" s="39">
        <x:f>F25+G25+H25-I25</x:f>
        <x:v>46045</x:v>
      </x:c>
      <x:c r="K25" s="12" t="inlineStr">
        <x:is>
          <x:t xml:space="preserve">Active</x:t>
        </x:is>
      </x:c>
      <x:c r="L25" s="12" t="inlineStr">
        <x:is>
          <x:t xml:space="preserve">Pending</x:t>
        </x:is>
      </x:c>
      <x:c r="M25" s="12" t="n">
        <x:v>30</x:v>
      </x:c>
      <x:c r="N25" s="12" t="n">
        <x:v>0</x:v>
      </x:c>
      <x:c r="O25" s="12" t="inlineStr">
        <x:is>
          <x:t xml:space="preserve">Pending</x:t>
        </x:is>
      </x:c>
    </x:row>
    <x:row r="26">
      <x:c r="A26" s="5" t="inlineStr">
        <x:is>
          <x:t xml:space="preserve">EMP37535</x:t>
        </x:is>
      </x:c>
      <x:c r="B26" s="6" t="inlineStr">
        <x:is>
          <x:t xml:space="preserve">Kavya Reddy</x:t>
        </x:is>
      </x:c>
      <x:c r="C26" s="6" t="inlineStr">
        <x:is>
          <x:t xml:space="preserve">HR Shared Services</x:t>
        </x:is>
      </x:c>
      <x:c r="D26" s="5" t="inlineStr">
        <x:is>
          <x:t xml:space="preserve">Gurgaon</x:t>
        </x:is>
      </x:c>
      <x:c r="E26" s="36" t="n">
        <x:v>45589</x:v>
      </x:c>
      <x:c r="F26" s="38" t="n">
        <x:v>32128</x:v>
      </x:c>
      <x:c r="G26" s="38" t="n">
        <x:v>11245</x:v>
      </x:c>
      <x:c r="H26" s="38" t="n">
        <x:v>3000</x:v>
      </x:c>
      <x:c r="I26" s="38" t="n">
        <x:v>7552</x:v>
      </x:c>
      <x:c r="J26" s="39">
        <x:f>F26+G26+H26-I26</x:f>
        <x:v>38821</x:v>
      </x:c>
      <x:c r="K26" s="12" t="inlineStr">
        <x:is>
          <x:t xml:space="preserve">Verified</x:t>
        </x:is>
      </x:c>
      <x:c r="L26" s="12" t="inlineStr">
        <x:is>
          <x:t xml:space="preserve">Pending</x:t>
        </x:is>
      </x:c>
      <x:c r="M26" s="12" t="n">
        <x:v>18</x:v>
      </x:c>
      <x:c r="N26" s="12" t="n">
        <x:v>2</x:v>
      </x:c>
      <x:c r="O26" s="12" t="inlineStr">
        <x:is>
          <x:t xml:space="preserve">Processed</x:t>
        </x:is>
      </x:c>
    </x:row>
    <x:row r="27">
      <x:c r="A27" s="5" t="inlineStr">
        <x:is>
          <x:t xml:space="preserve">EMP53540</x:t>
        </x:is>
      </x:c>
      <x:c r="B27" s="6" t="inlineStr">
        <x:is>
          <x:t xml:space="preserve">Rohan Taylor</x:t>
        </x:is>
      </x:c>
      <x:c r="C27" s="6" t="inlineStr">
        <x:is>
          <x:t xml:space="preserve">Benefits Team</x:t>
        </x:is>
      </x:c>
      <x:c r="D27" s="5" t="inlineStr">
        <x:is>
          <x:t xml:space="preserve">Chennai</x:t>
        </x:is>
      </x:c>
      <x:c r="E27" s="36" t="n">
        <x:v>44899</x:v>
      </x:c>
      <x:c r="F27" s="38" t="n">
        <x:v>47070</x:v>
      </x:c>
      <x:c r="G27" s="38" t="n">
        <x:v>16474</x:v>
      </x:c>
      <x:c r="H27" s="38" t="n">
        <x:v>12000</x:v>
      </x:c>
      <x:c r="I27" s="38" t="n">
        <x:v>2822</x:v>
      </x:c>
      <x:c r="J27" s="39">
        <x:f>F27+G27+H27-I27</x:f>
        <x:v>72722</x:v>
      </x:c>
      <x:c r="K27" s="12" t="inlineStr">
        <x:is>
          <x:t xml:space="preserve">Verified</x:t>
        </x:is>
      </x:c>
      <x:c r="L27" s="12" t="inlineStr">
        <x:is>
          <x:t xml:space="preserve">Pending</x:t>
        </x:is>
      </x:c>
      <x:c r="M27" s="12" t="n">
        <x:v>23</x:v>
      </x:c>
      <x:c r="N27" s="12" t="n">
        <x:v>4</x:v>
      </x:c>
      <x:c r="O27" s="12" t="inlineStr">
        <x:is>
          <x:t xml:space="preserve">Pending</x:t>
        </x:is>
      </x:c>
    </x:row>
    <x:row r="28">
      <x:c r="A28" s="5" t="inlineStr">
        <x:is>
          <x:t xml:space="preserve">EMP39831</x:t>
        </x:is>
      </x:c>
      <x:c r="B28" s="6" t="inlineStr">
        <x:is>
          <x:t xml:space="preserve">James Anderson</x:t>
        </x:is>
      </x:c>
      <x:c r="C28" s="6" t="inlineStr">
        <x:is>
          <x:t xml:space="preserve">Benefits Team</x:t>
        </x:is>
      </x:c>
      <x:c r="D28" s="5" t="inlineStr">
        <x:is>
          <x:t xml:space="preserve">Noida</x:t>
        </x:is>
      </x:c>
      <x:c r="E28" s="36" t="n">
        <x:v>45074</x:v>
      </x:c>
      <x:c r="F28" s="38" t="n">
        <x:v>26549</x:v>
      </x:c>
      <x:c r="G28" s="38" t="n">
        <x:v>10620</x:v>
      </x:c>
      <x:c r="H28" s="38" t="n">
        <x:v>7500</x:v>
      </x:c>
      <x:c r="I28" s="38" t="n">
        <x:v>6255</x:v>
      </x:c>
      <x:c r="J28" s="39">
        <x:f>F28+G28+H28-I28</x:f>
        <x:v>38414</x:v>
      </x:c>
      <x:c r="K28" s="12" t="inlineStr">
        <x:is>
          <x:t xml:space="preserve">Pending Verification</x:t>
        </x:is>
      </x:c>
      <x:c r="L28" s="12" t="inlineStr">
        <x:is>
          <x:t xml:space="preserve">Pending</x:t>
        </x:is>
      </x:c>
      <x:c r="M28" s="12" t="n">
        <x:v>28</x:v>
      </x:c>
      <x:c r="N28" s="12" t="n">
        <x:v>2</x:v>
      </x:c>
      <x:c r="O28" s="12" t="inlineStr">
        <x:is>
          <x:t xml:space="preserve">Hold</x:t>
        </x:is>
      </x:c>
    </x:row>
    <x:row r="29">
      <x:c r="A29" s="5" t="inlineStr">
        <x:is>
          <x:t xml:space="preserve">EMP25118</x:t>
        </x:is>
      </x:c>
      <x:c r="B29" s="6" t="inlineStr">
        <x:is>
          <x:t xml:space="preserve">Kiran Gupta</x:t>
        </x:is>
      </x:c>
      <x:c r="C29" s="6" t="inlineStr">
        <x:is>
          <x:t xml:space="preserve">Consulting Ops</x:t>
        </x:is>
      </x:c>
      <x:c r="D29" s="5" t="inlineStr">
        <x:is>
          <x:t xml:space="preserve">Chennai</x:t>
        </x:is>
      </x:c>
      <x:c r="E29" s="36" t="n">
        <x:v>44247</x:v>
      </x:c>
      <x:c r="F29" s="38" t="n">
        <x:v>50479</x:v>
      </x:c>
      <x:c r="G29" s="38" t="n">
        <x:v>20192</x:v>
      </x:c>
      <x:c r="H29" s="38" t="n">
        <x:v>7500</x:v>
      </x:c>
      <x:c r="I29" s="38" t="n">
        <x:v>4574</x:v>
      </x:c>
      <x:c r="J29" s="39">
        <x:f>F29+G29+H29-I29</x:f>
        <x:v>73597</x:v>
      </x:c>
      <x:c r="K29" s="12" t="inlineStr">
        <x:is>
          <x:t xml:space="preserve">Pending Verification</x:t>
        </x:is>
      </x:c>
      <x:c r="L29" s="12" t="inlineStr">
        <x:is>
          <x:t xml:space="preserve">Verified</x:t>
        </x:is>
      </x:c>
      <x:c r="M29" s="12" t="n">
        <x:v>24</x:v>
      </x:c>
      <x:c r="N29" s="12" t="n">
        <x:v>3</x:v>
      </x:c>
      <x:c r="O29" s="12" t="inlineStr">
        <x:is>
          <x:t xml:space="preserve">Processed</x:t>
        </x:is>
      </x:c>
    </x:row>
    <x:row r="30">
      <x:c r="A30" s="5" t="inlineStr">
        <x:is>
          <x:t xml:space="preserve">EMP67154</x:t>
        </x:is>
      </x:c>
      <x:c r="B30" s="6" t="inlineStr">
        <x:is>
          <x:t xml:space="preserve">Aarav Moore</x:t>
        </x:is>
      </x:c>
      <x:c r="C30" s="6" t="inlineStr">
        <x:is>
          <x:t xml:space="preserve">Tax Support</x:t>
        </x:is>
      </x:c>
      <x:c r="D30" s="5" t="inlineStr">
        <x:is>
          <x:t xml:space="preserve">Pune</x:t>
        </x:is>
      </x:c>
      <x:c r="E30" s="36" t="n">
        <x:v>45110</x:v>
      </x:c>
      <x:c r="F30" s="38" t="n">
        <x:v>65531</x:v>
      </x:c>
      <x:c r="G30" s="38" t="n">
        <x:v>26212</x:v>
      </x:c>
      <x:c r="H30" s="38" t="n">
        <x:v>7500</x:v>
      </x:c>
      <x:c r="I30" s="38" t="n">
        <x:v>6434</x:v>
      </x:c>
      <x:c r="J30" s="39">
        <x:f>F30+G30+H30-I30</x:f>
        <x:v>92809</x:v>
      </x:c>
      <x:c r="K30" s="12" t="inlineStr">
        <x:is>
          <x:t xml:space="preserve">Verified</x:t>
        </x:is>
      </x:c>
      <x:c r="L30" s="12" t="inlineStr">
        <x:is>
          <x:t xml:space="preserve">Pending</x:t>
        </x:is>
      </x:c>
      <x:c r="M30" s="12" t="n">
        <x:v>26</x:v>
      </x:c>
      <x:c r="N30" s="12" t="n">
        <x:v>2</x:v>
      </x:c>
      <x:c r="O30" s="12" t="inlineStr">
        <x:is>
          <x:t xml:space="preserve">Processed</x:t>
        </x:is>
      </x:c>
    </x:row>
    <x:row r="31">
      <x:c r="A31" s="5" t="inlineStr">
        <x:is>
          <x:t xml:space="preserve">EMP52753</x:t>
        </x:is>
      </x:c>
      <x:c r="B31" s="6" t="inlineStr">
        <x:is>
          <x:t xml:space="preserve">Ravi Shah</x:t>
        </x:is>
      </x:c>
      <x:c r="C31" s="6" t="inlineStr">
        <x:is>
          <x:t xml:space="preserve">Talent Ops</x:t>
        </x:is>
      </x:c>
      <x:c r="D31" s="5" t="inlineStr">
        <x:is>
          <x:t xml:space="preserve">Mumbai</x:t>
        </x:is>
      </x:c>
      <x:c r="E31" s="36" t="n">
        <x:v>44764</x:v>
      </x:c>
      <x:c r="F31" s="38" t="n">
        <x:v>46847</x:v>
      </x:c>
      <x:c r="G31" s="38" t="n">
        <x:v>21081</x:v>
      </x:c>
      <x:c r="H31" s="38" t="n">
        <x:v>3000</x:v>
      </x:c>
      <x:c r="I31" s="38" t="n">
        <x:v>6042</x:v>
      </x:c>
      <x:c r="J31" s="39">
        <x:f>F31+G31+H31-I31</x:f>
        <x:v>64886</x:v>
      </x:c>
      <x:c r="K31" s="12" t="inlineStr">
        <x:is>
          <x:t xml:space="preserve">Pending Verification</x:t>
        </x:is>
      </x:c>
      <x:c r="L31" s="12" t="inlineStr">
        <x:is>
          <x:t xml:space="preserve">Pending</x:t>
        </x:is>
      </x:c>
      <x:c r="M31" s="12" t="n">
        <x:v>24</x:v>
      </x:c>
      <x:c r="N31" s="12" t="n">
        <x:v>0</x:v>
      </x:c>
      <x:c r="O31" s="12" t="inlineStr">
        <x:is>
          <x:t xml:space="preserve">Processed</x:t>
        </x:is>
      </x:c>
    </x:row>
    <x:row r="32">
      <x:c r="A32" s="5" t="inlineStr">
        <x:is>
          <x:t xml:space="preserve">EMP37549</x:t>
        </x:is>
      </x:c>
      <x:c r="B32" s="6" t="inlineStr">
        <x:is>
          <x:t xml:space="preserve">Sneha Taylor</x:t>
        </x:is>
      </x:c>
      <x:c r="C32" s="6" t="inlineStr">
        <x:is>
          <x:t xml:space="preserve">Consulting Ops</x:t>
        </x:is>
      </x:c>
      <x:c r="D32" s="5" t="inlineStr">
        <x:is>
          <x:t xml:space="preserve">Gurgaon</x:t>
        </x:is>
      </x:c>
      <x:c r="E32" s="36" t="n">
        <x:v>45519</x:v>
      </x:c>
      <x:c r="F32" s="38" t="n">
        <x:v>66277</x:v>
      </x:c>
      <x:c r="G32" s="38" t="n">
        <x:v>23197</x:v>
      </x:c>
      <x:c r="H32" s="38" t="n">
        <x:v>12000</x:v>
      </x:c>
      <x:c r="I32" s="38" t="n">
        <x:v>7502</x:v>
      </x:c>
      <x:c r="J32" s="39">
        <x:f>F32+G32+H32-I32</x:f>
        <x:v>93972</x:v>
      </x:c>
      <x:c r="K32" s="12" t="inlineStr">
        <x:is>
          <x:t xml:space="preserve">Pending Verification</x:t>
        </x:is>
      </x:c>
      <x:c r="L32" s="12" t="inlineStr">
        <x:is>
          <x:t xml:space="preserve">Verified</x:t>
        </x:is>
      </x:c>
      <x:c r="M32" s="12" t="n">
        <x:v>28</x:v>
      </x:c>
      <x:c r="N32" s="12" t="n">
        <x:v>0</x:v>
      </x:c>
      <x:c r="O32" s="12" t="inlineStr">
        <x:is>
          <x:t xml:space="preserve">Processed</x:t>
        </x:is>
      </x:c>
    </x:row>
    <x:row r="33">
      <x:c r="A33" s="5" t="inlineStr">
        <x:is>
          <x:t xml:space="preserve">EMP97012</x:t>
        </x:is>
      </x:c>
      <x:c r="B33" s="6" t="inlineStr">
        <x:is>
          <x:t xml:space="preserve">Noah Brown</x:t>
        </x:is>
      </x:c>
      <x:c r="C33" s="6" t="inlineStr">
        <x:is>
          <x:t xml:space="preserve">Benefits Team</x:t>
        </x:is>
      </x:c>
      <x:c r="D33" s="5" t="inlineStr">
        <x:is>
          <x:t xml:space="preserve">Chennai</x:t>
        </x:is>
      </x:c>
      <x:c r="E33" s="36" t="n">
        <x:v>44656</x:v>
      </x:c>
      <x:c r="F33" s="38" t="n">
        <x:v>23600</x:v>
      </x:c>
      <x:c r="G33" s="38" t="n">
        <x:v>8260</x:v>
      </x:c>
      <x:c r="H33" s="38" t="n">
        <x:v>4500</x:v>
      </x:c>
      <x:c r="I33" s="38" t="n">
        <x:v>4892</x:v>
      </x:c>
      <x:c r="J33" s="39">
        <x:f>F33+G33+H33-I33</x:f>
        <x:v>31468</x:v>
      </x:c>
      <x:c r="K33" s="12" t="inlineStr">
        <x:is>
          <x:t xml:space="preserve">Pending Verification</x:t>
        </x:is>
      </x:c>
      <x:c r="L33" s="12" t="inlineStr">
        <x:is>
          <x:t xml:space="preserve">Verified</x:t>
        </x:is>
      </x:c>
      <x:c r="M33" s="12" t="n">
        <x:v>25</x:v>
      </x:c>
      <x:c r="N33" s="12" t="n">
        <x:v>3</x:v>
      </x:c>
      <x:c r="O33" s="12" t="inlineStr">
        <x:is>
          <x:t xml:space="preserve">Pending</x:t>
        </x:is>
      </x:c>
    </x:row>
    <x:row r="34">
      <x:c r="A34" s="5" t="inlineStr">
        <x:is>
          <x:t xml:space="preserve">EMP85454</x:t>
        </x:is>
      </x:c>
      <x:c r="B34" s="6" t="inlineStr">
        <x:is>
          <x:t xml:space="preserve">Henry Shah</x:t>
        </x:is>
      </x:c>
      <x:c r="C34" s="6" t="inlineStr">
        <x:is>
          <x:t xml:space="preserve">Risk Advisory</x:t>
        </x:is>
      </x:c>
      <x:c r="D34" s="5" t="inlineStr">
        <x:is>
          <x:t xml:space="preserve">Kolkata</x:t>
        </x:is>
      </x:c>
      <x:c r="E34" s="36" t="n">
        <x:v>45387</x:v>
      </x:c>
      <x:c r="F34" s="38" t="n">
        <x:v>64995</x:v>
      </x:c>
      <x:c r="G34" s="38" t="n">
        <x:v>29248</x:v>
      </x:c>
      <x:c r="H34" s="38" t="n">
        <x:v>1500</x:v>
      </x:c>
      <x:c r="I34" s="38" t="n">
        <x:v>7151</x:v>
      </x:c>
      <x:c r="J34" s="39">
        <x:f>F34+G34+H34-I34</x:f>
        <x:v>88592</x:v>
      </x:c>
      <x:c r="K34" s="12" t="inlineStr">
        <x:is>
          <x:t xml:space="preserve">Verified</x:t>
        </x:is>
      </x:c>
      <x:c r="L34" s="12" t="inlineStr">
        <x:is>
          <x:t xml:space="preserve">Pending</x:t>
        </x:is>
      </x:c>
      <x:c r="M34" s="12" t="n">
        <x:v>21</x:v>
      </x:c>
      <x:c r="N34" s="12" t="n">
        <x:v>2</x:v>
      </x:c>
      <x:c r="O34" s="12" t="inlineStr">
        <x:is>
          <x:t xml:space="preserve">Pending</x:t>
        </x:is>
      </x:c>
    </x:row>
    <x:row r="35">
      <x:c r="A35" s="5" t="inlineStr">
        <x:is>
          <x:t xml:space="preserve">EMP77889</x:t>
        </x:is>
      </x:c>
      <x:c r="B35" s="6" t="inlineStr">
        <x:is>
          <x:t xml:space="preserve">Vikram Bose</x:t>
        </x:is>
      </x:c>
      <x:c r="C35" s="6" t="inlineStr">
        <x:is>
          <x:t xml:space="preserve">Tax Support</x:t>
        </x:is>
      </x:c>
      <x:c r="D35" s="5" t="inlineStr">
        <x:is>
          <x:t xml:space="preserve">Pune</x:t>
        </x:is>
      </x:c>
      <x:c r="E35" s="36" t="n">
        <x:v>44413</x:v>
      </x:c>
      <x:c r="F35" s="38" t="n">
        <x:v>74521</x:v>
      </x:c>
      <x:c r="G35" s="38" t="n">
        <x:v>29808</x:v>
      </x:c>
      <x:c r="H35" s="38" t="n">
        <x:v>7500</x:v>
      </x:c>
      <x:c r="I35" s="38" t="n">
        <x:v>7187</x:v>
      </x:c>
      <x:c r="J35" s="39">
        <x:f>F35+G35+H35-I35</x:f>
        <x:v>104642</x:v>
      </x:c>
      <x:c r="K35" s="12" t="inlineStr">
        <x:is>
          <x:t xml:space="preserve">Active</x:t>
        </x:is>
      </x:c>
      <x:c r="L35" s="12" t="inlineStr">
        <x:is>
          <x:t xml:space="preserve">Pending</x:t>
        </x:is>
      </x:c>
      <x:c r="M35" s="12" t="n">
        <x:v>31</x:v>
      </x:c>
      <x:c r="N35" s="12" t="n">
        <x:v>0</x:v>
      </x:c>
      <x:c r="O35" s="12" t="inlineStr">
        <x:is>
          <x:t xml:space="preserve">Pending</x:t>
        </x:is>
      </x:c>
    </x:row>
    <x:row r="36">
      <x:c r="A36" s="5" t="inlineStr">
        <x:is>
          <x:t xml:space="preserve">EMP72216</x:t>
        </x:is>
      </x:c>
      <x:c r="B36" s="6" t="inlineStr">
        <x:is>
          <x:t xml:space="preserve">Sophie Jackson</x:t>
        </x:is>
      </x:c>
      <x:c r="C36" s="6" t="inlineStr">
        <x:is>
          <x:t xml:space="preserve">Benefits Team</x:t>
        </x:is>
      </x:c>
      <x:c r="D36" s="5" t="inlineStr">
        <x:is>
          <x:t xml:space="preserve">Chennai</x:t>
        </x:is>
      </x:c>
      <x:c r="E36" s="36" t="n">
        <x:v>45604</x:v>
      </x:c>
      <x:c r="F36" s="38" t="n">
        <x:v>39996</x:v>
      </x:c>
      <x:c r="G36" s="38" t="n">
        <x:v>15998</x:v>
      </x:c>
      <x:c r="H36" s="38" t="n">
        <x:v>2500</x:v>
      </x:c>
      <x:c r="I36" s="38" t="n">
        <x:v>6845</x:v>
      </x:c>
      <x:c r="J36" s="39">
        <x:f>F36+G36+H36-I36</x:f>
        <x:v>51649</x:v>
      </x:c>
      <x:c r="K36" s="12" t="inlineStr">
        <x:is>
          <x:t xml:space="preserve">Active</x:t>
        </x:is>
      </x:c>
      <x:c r="L36" s="12" t="inlineStr">
        <x:is>
          <x:t xml:space="preserve">Verified</x:t>
        </x:is>
      </x:c>
      <x:c r="M36" s="12" t="n">
        <x:v>22</x:v>
      </x:c>
      <x:c r="N36" s="12" t="n">
        <x:v>5</x:v>
      </x:c>
      <x:c r="O36" s="12" t="inlineStr">
        <x:is>
          <x:t xml:space="preserve">Processed</x:t>
        </x:is>
      </x:c>
    </x:row>
    <x:row r="37">
      <x:c r="A37" s="5" t="inlineStr">
        <x:is>
          <x:t xml:space="preserve">EMP80798</x:t>
        </x:is>
      </x:c>
      <x:c r="B37" s="6" t="inlineStr">
        <x:is>
          <x:t xml:space="preserve">Arjun Desai</x:t>
        </x:is>
      </x:c>
      <x:c r="C37" s="6" t="inlineStr">
        <x:is>
          <x:t xml:space="preserve">Finance Ops</x:t>
        </x:is>
      </x:c>
      <x:c r="D37" s="5" t="inlineStr">
        <x:is>
          <x:t xml:space="preserve">Pune</x:t>
        </x:is>
      </x:c>
      <x:c r="E37" s="36" t="n">
        <x:v>45631</x:v>
      </x:c>
      <x:c r="F37" s="38" t="n">
        <x:v>68295</x:v>
      </x:c>
      <x:c r="G37" s="38" t="n">
        <x:v>23903</x:v>
      </x:c>
      <x:c r="H37" s="38" t="n">
        <x:v>2500</x:v>
      </x:c>
      <x:c r="I37" s="38" t="n">
        <x:v>4398</x:v>
      </x:c>
      <x:c r="J37" s="39">
        <x:f>F37+G37+H37-I37</x:f>
        <x:v>90300</x:v>
      </x:c>
      <x:c r="K37" s="12" t="inlineStr">
        <x:is>
          <x:t xml:space="preserve">Active</x:t>
        </x:is>
      </x:c>
      <x:c r="L37" s="12" t="inlineStr">
        <x:is>
          <x:t xml:space="preserve">Pending</x:t>
        </x:is>
      </x:c>
      <x:c r="M37" s="12" t="n">
        <x:v>26</x:v>
      </x:c>
      <x:c r="N37" s="12" t="n">
        <x:v>3</x:v>
      </x:c>
      <x:c r="O37" s="12" t="inlineStr">
        <x:is>
          <x:t xml:space="preserve">Processed</x:t>
        </x:is>
      </x:c>
    </x:row>
    <x:row r="38">
      <x:c r="A38" s="5" t="inlineStr">
        <x:is>
          <x:t xml:space="preserve">EMP37110</x:t>
        </x:is>
      </x:c>
      <x:c r="B38" s="6" t="inlineStr">
        <x:is>
          <x:t xml:space="preserve">Rohan Lee</x:t>
        </x:is>
      </x:c>
      <x:c r="C38" s="6" t="inlineStr">
        <x:is>
          <x:t xml:space="preserve">Consulting Ops</x:t>
        </x:is>
      </x:c>
      <x:c r="D38" s="5" t="inlineStr">
        <x:is>
          <x:t xml:space="preserve">Hyderabad</x:t>
        </x:is>
      </x:c>
      <x:c r="E38" s="36" t="n">
        <x:v>45505</x:v>
      </x:c>
      <x:c r="F38" s="38" t="n">
        <x:v>45052</x:v>
      </x:c>
      <x:c r="G38" s="38" t="n">
        <x:v>18021</x:v>
      </x:c>
      <x:c r="H38" s="38" t="n">
        <x:v>9000</x:v>
      </x:c>
      <x:c r="I38" s="38" t="n">
        <x:v>7991</x:v>
      </x:c>
      <x:c r="J38" s="39">
        <x:f>F38+G38+H38-I38</x:f>
        <x:v>64082</x:v>
      </x:c>
      <x:c r="K38" s="12" t="inlineStr">
        <x:is>
          <x:t xml:space="preserve">Active</x:t>
        </x:is>
      </x:c>
      <x:c r="L38" s="12" t="inlineStr">
        <x:is>
          <x:t xml:space="preserve">Verified</x:t>
        </x:is>
      </x:c>
      <x:c r="M38" s="12" t="n">
        <x:v>25</x:v>
      </x:c>
      <x:c r="N38" s="12" t="n">
        <x:v>1</x:v>
      </x:c>
      <x:c r="O38" s="12" t="inlineStr">
        <x:is>
          <x:t xml:space="preserve">Processed</x:t>
        </x:is>
      </x:c>
    </x:row>
    <x:row r="39">
      <x:c r="A39" s="5" t="inlineStr">
        <x:is>
          <x:t xml:space="preserve">EMP73654</x:t>
        </x:is>
      </x:c>
      <x:c r="B39" s="6" t="inlineStr">
        <x:is>
          <x:t xml:space="preserve">Aisha Lee</x:t>
        </x:is>
      </x:c>
      <x:c r="C39" s="6" t="inlineStr">
        <x:is>
          <x:t xml:space="preserve">IT Support</x:t>
        </x:is>
      </x:c>
      <x:c r="D39" s="5" t="inlineStr">
        <x:is>
          <x:t xml:space="preserve">Noida</x:t>
        </x:is>
      </x:c>
      <x:c r="E39" s="36" t="n">
        <x:v>44778</x:v>
      </x:c>
      <x:c r="F39" s="38" t="n">
        <x:v>62780</x:v>
      </x:c>
      <x:c r="G39" s="38" t="n">
        <x:v>28251</x:v>
      </x:c>
      <x:c r="H39" s="38" t="n">
        <x:v>1500</x:v>
      </x:c>
      <x:c r="I39" s="38" t="n">
        <x:v>4227</x:v>
      </x:c>
      <x:c r="J39" s="39">
        <x:f>F39+G39+H39-I39</x:f>
        <x:v>88304</x:v>
      </x:c>
      <x:c r="K39" s="12" t="inlineStr">
        <x:is>
          <x:t xml:space="preserve">Pending Verification</x:t>
        </x:is>
      </x:c>
      <x:c r="L39" s="12" t="inlineStr">
        <x:is>
          <x:t xml:space="preserve">Verified</x:t>
        </x:is>
      </x:c>
      <x:c r="M39" s="12" t="n">
        <x:v>19</x:v>
      </x:c>
      <x:c r="N39" s="12" t="n">
        <x:v>6</x:v>
      </x:c>
      <x:c r="O39" s="12" t="inlineStr">
        <x:is>
          <x:t xml:space="preserve">Processed</x:t>
        </x:is>
      </x:c>
    </x:row>
    <x:row r="40">
      <x:c r="A40" s="5" t="inlineStr">
        <x:is>
          <x:t xml:space="preserve">EMP70515</x:t>
        </x:is>
      </x:c>
      <x:c r="B40" s="6" t="inlineStr">
        <x:is>
          <x:t xml:space="preserve">Fatima Bose</x:t>
        </x:is>
      </x:c>
      <x:c r="C40" s="6" t="inlineStr">
        <x:is>
          <x:t xml:space="preserve">Talent Ops</x:t>
        </x:is>
      </x:c>
      <x:c r="D40" s="5" t="inlineStr">
        <x:is>
          <x:t xml:space="preserve">Noida</x:t>
        </x:is>
      </x:c>
      <x:c r="E40" s="36" t="n">
        <x:v>45031</x:v>
      </x:c>
      <x:c r="F40" s="38" t="n">
        <x:v>43420</x:v>
      </x:c>
      <x:c r="G40" s="38" t="n">
        <x:v>17368</x:v>
      </x:c>
      <x:c r="H40" s="38" t="n">
        <x:v>9000</x:v>
      </x:c>
      <x:c r="I40" s="38" t="n">
        <x:v>3279</x:v>
      </x:c>
      <x:c r="J40" s="39">
        <x:f>F40+G40+H40-I40</x:f>
        <x:v>66509</x:v>
      </x:c>
      <x:c r="K40" s="12" t="inlineStr">
        <x:is>
          <x:t xml:space="preserve">Active</x:t>
        </x:is>
      </x:c>
      <x:c r="L40" s="12" t="inlineStr">
        <x:is>
          <x:t xml:space="preserve">Pending</x:t>
        </x:is>
      </x:c>
      <x:c r="M40" s="12" t="n">
        <x:v>31</x:v>
      </x:c>
      <x:c r="N40" s="12" t="n">
        <x:v>0</x:v>
      </x:c>
      <x:c r="O40" s="12" t="inlineStr">
        <x:is>
          <x:t xml:space="preserve">Processed</x:t>
        </x:is>
      </x:c>
    </x:row>
    <x:row r="41">
      <x:c r="A41" s="5" t="inlineStr">
        <x:is>
          <x:t xml:space="preserve">EMP46099</x:t>
        </x:is>
      </x:c>
      <x:c r="B41" s="6" t="inlineStr">
        <x:is>
          <x:t xml:space="preserve">Amira Kumar</x:t>
        </x:is>
      </x:c>
      <x:c r="C41" s="6" t="inlineStr">
        <x:is>
          <x:t xml:space="preserve">Benefits Team</x:t>
        </x:is>
      </x:c>
      <x:c r="D41" s="5" t="inlineStr">
        <x:is>
          <x:t xml:space="preserve">Bengaluru</x:t>
        </x:is>
      </x:c>
      <x:c r="E41" s="36" t="n">
        <x:v>44204</x:v>
      </x:c>
      <x:c r="F41" s="38" t="n">
        <x:v>35065</x:v>
      </x:c>
      <x:c r="G41" s="38" t="n">
        <x:v>12273</x:v>
      </x:c>
      <x:c r="H41" s="38" t="n">
        <x:v>3000</x:v>
      </x:c>
      <x:c r="I41" s="38" t="n">
        <x:v>2954</x:v>
      </x:c>
      <x:c r="J41" s="39">
        <x:f>F41+G41+H41-I41</x:f>
        <x:v>47384</x:v>
      </x:c>
      <x:c r="K41" s="12" t="inlineStr">
        <x:is>
          <x:t xml:space="preserve">Verified</x:t>
        </x:is>
      </x:c>
      <x:c r="L41" s="12" t="inlineStr">
        <x:is>
          <x:t xml:space="preserve">Pending</x:t>
        </x:is>
      </x:c>
      <x:c r="M41" s="12" t="n">
        <x:v>28</x:v>
      </x:c>
      <x:c r="N41" s="12" t="n">
        <x:v>0</x:v>
      </x:c>
      <x:c r="O41" s="12" t="inlineStr">
        <x:is>
          <x:t xml:space="preserve">Processed</x:t>
        </x:is>
      </x:c>
    </x:row>
    <x:row r="42">
      <x:c r="A42" s="5" t="inlineStr">
        <x:is>
          <x:t xml:space="preserve">EMP38569</x:t>
        </x:is>
      </x:c>
      <x:c r="B42" s="6" t="inlineStr">
        <x:is>
          <x:t xml:space="preserve">Vikram Shah</x:t>
        </x:is>
      </x:c>
      <x:c r="C42" s="6" t="inlineStr">
        <x:is>
          <x:t xml:space="preserve">Talent Ops</x:t>
        </x:is>
      </x:c>
      <x:c r="D42" s="5" t="inlineStr">
        <x:is>
          <x:t xml:space="preserve">Gurgaon</x:t>
        </x:is>
      </x:c>
      <x:c r="E42" s="36" t="n">
        <x:v>44854</x:v>
      </x:c>
      <x:c r="F42" s="38" t="n">
        <x:v>71016</x:v>
      </x:c>
      <x:c r="G42" s="38" t="n">
        <x:v>31957</x:v>
      </x:c>
      <x:c r="H42" s="38" t="n">
        <x:v>2500</x:v>
      </x:c>
      <x:c r="I42" s="38" t="n">
        <x:v>7371</x:v>
      </x:c>
      <x:c r="J42" s="39">
        <x:f>F42+G42+H42-I42</x:f>
        <x:v>98102</x:v>
      </x:c>
      <x:c r="K42" s="12" t="inlineStr">
        <x:is>
          <x:t xml:space="preserve">Verified</x:t>
        </x:is>
      </x:c>
      <x:c r="L42" s="12" t="inlineStr">
        <x:is>
          <x:t xml:space="preserve">Pending</x:t>
        </x:is>
      </x:c>
      <x:c r="M42" s="12" t="n">
        <x:v>19</x:v>
      </x:c>
      <x:c r="N42" s="12" t="n">
        <x:v>0</x:v>
      </x:c>
      <x:c r="O42" s="12" t="inlineStr">
        <x:is>
          <x:t xml:space="preserve">Pending</x:t>
        </x:is>
      </x:c>
    </x:row>
    <x:row r="43">
      <x:c r="A43" s="5" t="inlineStr">
        <x:is>
          <x:t xml:space="preserve">EMP85470</x:t>
        </x:is>
      </x:c>
      <x:c r="B43" s="6" t="inlineStr">
        <x:is>
          <x:t xml:space="preserve">Priya Lee</x:t>
        </x:is>
      </x:c>
      <x:c r="C43" s="6" t="inlineStr">
        <x:is>
          <x:t xml:space="preserve">Benefits Team</x:t>
        </x:is>
      </x:c>
      <x:c r="D43" s="5" t="inlineStr">
        <x:is>
          <x:t xml:space="preserve">Bengaluru</x:t>
        </x:is>
      </x:c>
      <x:c r="E43" s="36" t="n">
        <x:v>44615</x:v>
      </x:c>
      <x:c r="F43" s="38" t="n">
        <x:v>72625</x:v>
      </x:c>
      <x:c r="G43" s="38" t="n">
        <x:v>29050</x:v>
      </x:c>
      <x:c r="H43" s="38" t="n">
        <x:v>2500</x:v>
      </x:c>
      <x:c r="I43" s="38" t="n">
        <x:v>7522</x:v>
      </x:c>
      <x:c r="J43" s="39">
        <x:f>F43+G43+H43-I43</x:f>
        <x:v>96653</x:v>
      </x:c>
      <x:c r="K43" s="12" t="inlineStr">
        <x:is>
          <x:t xml:space="preserve">Pending Verification</x:t>
        </x:is>
      </x:c>
      <x:c r="L43" s="12" t="inlineStr">
        <x:is>
          <x:t xml:space="preserve">Verified</x:t>
        </x:is>
      </x:c>
      <x:c r="M43" s="12" t="n">
        <x:v>30</x:v>
      </x:c>
      <x:c r="N43" s="12" t="n">
        <x:v>8</x:v>
      </x:c>
      <x:c r="O43" s="12" t="inlineStr">
        <x:is>
          <x:t xml:space="preserve">Processed</x:t>
        </x:is>
      </x:c>
    </x:row>
    <x:row r="44">
      <x:c r="A44" s="5" t="inlineStr">
        <x:is>
          <x:t xml:space="preserve">EMP58571</x:t>
        </x:is>
      </x:c>
      <x:c r="B44" s="6" t="inlineStr">
        <x:is>
          <x:t xml:space="preserve">Ananya Moore</x:t>
        </x:is>
      </x:c>
      <x:c r="C44" s="6" t="inlineStr">
        <x:is>
          <x:t xml:space="preserve">IT Support</x:t>
        </x:is>
      </x:c>
      <x:c r="D44" s="5" t="inlineStr">
        <x:is>
          <x:t xml:space="preserve">Hyderabad</x:t>
        </x:is>
      </x:c>
      <x:c r="E44" s="36" t="n">
        <x:v>45508</x:v>
      </x:c>
      <x:c r="F44" s="38" t="n">
        <x:v>50411</x:v>
      </x:c>
      <x:c r="G44" s="38" t="n">
        <x:v>20164</x:v>
      </x:c>
      <x:c r="H44" s="38" t="n">
        <x:v>12000</x:v>
      </x:c>
      <x:c r="I44" s="38" t="n">
        <x:v>6794</x:v>
      </x:c>
      <x:c r="J44" s="39">
        <x:f>F44+G44+H44-I44</x:f>
        <x:v>75781</x:v>
      </x:c>
      <x:c r="K44" s="12" t="inlineStr">
        <x:is>
          <x:t xml:space="preserve">Verified</x:t>
        </x:is>
      </x:c>
      <x:c r="L44" s="12" t="inlineStr">
        <x:is>
          <x:t xml:space="preserve">Pending</x:t>
        </x:is>
      </x:c>
      <x:c r="M44" s="12" t="n">
        <x:v>20</x:v>
      </x:c>
      <x:c r="N44" s="12" t="n">
        <x:v>8</x:v>
      </x:c>
      <x:c r="O44" s="12" t="inlineStr">
        <x:is>
          <x:t xml:space="preserve">Hold</x:t>
        </x:is>
      </x:c>
    </x:row>
    <x:row r="45">
      <x:c r="A45" s="5" t="inlineStr">
        <x:is>
          <x:t xml:space="preserve">EMP45400</x:t>
        </x:is>
      </x:c>
      <x:c r="B45" s="6" t="inlineStr">
        <x:is>
          <x:t xml:space="preserve">William Mehta</x:t>
        </x:is>
      </x:c>
      <x:c r="C45" s="6" t="inlineStr">
        <x:is>
          <x:t xml:space="preserve">Risk Advisory</x:t>
        </x:is>
      </x:c>
      <x:c r="D45" s="5" t="inlineStr">
        <x:is>
          <x:t xml:space="preserve">Chennai</x:t>
        </x:is>
      </x:c>
      <x:c r="E45" s="36" t="n">
        <x:v>45043</x:v>
      </x:c>
      <x:c r="F45" s="38" t="n">
        <x:v>27679</x:v>
      </x:c>
      <x:c r="G45" s="38" t="n">
        <x:v>11072</x:v>
      </x:c>
      <x:c r="H45" s="38" t="n">
        <x:v>12000</x:v>
      </x:c>
      <x:c r="I45" s="38" t="n">
        <x:v>2997</x:v>
      </x:c>
      <x:c r="J45" s="39">
        <x:f>F45+G45+H45-I45</x:f>
        <x:v>47754</x:v>
      </x:c>
      <x:c r="K45" s="12" t="inlineStr">
        <x:is>
          <x:t xml:space="preserve">Active</x:t>
        </x:is>
      </x:c>
      <x:c r="L45" s="12" t="inlineStr">
        <x:is>
          <x:t xml:space="preserve">Pending</x:t>
        </x:is>
      </x:c>
      <x:c r="M45" s="12" t="n">
        <x:v>23</x:v>
      </x:c>
      <x:c r="N45" s="12" t="n">
        <x:v>0</x:v>
      </x:c>
      <x:c r="O45" s="12" t="inlineStr">
        <x:is>
          <x:t xml:space="preserve">Processed</x:t>
        </x:is>
      </x:c>
    </x:row>
    <x:row r="46">
      <x:c r="A46" s="5" t="inlineStr">
        <x:is>
          <x:t xml:space="preserve">EMP52600</x:t>
        </x:is>
      </x:c>
      <x:c r="B46" s="6" t="inlineStr">
        <x:is>
          <x:t xml:space="preserve">Fatima Miller</x:t>
        </x:is>
      </x:c>
      <x:c r="C46" s="6" t="inlineStr">
        <x:is>
          <x:t xml:space="preserve">Benefits Team</x:t>
        </x:is>
      </x:c>
      <x:c r="D46" s="5" t="inlineStr">
        <x:is>
          <x:t xml:space="preserve">Gurgaon</x:t>
        </x:is>
      </x:c>
      <x:c r="E46" s="36" t="n">
        <x:v>45086</x:v>
      </x:c>
      <x:c r="F46" s="38" t="n">
        <x:v>61069</x:v>
      </x:c>
      <x:c r="G46" s="38" t="n">
        <x:v>27481</x:v>
      </x:c>
      <x:c r="H46" s="38" t="n">
        <x:v>6000</x:v>
      </x:c>
      <x:c r="I46" s="38" t="n">
        <x:v>5553</x:v>
      </x:c>
      <x:c r="J46" s="39">
        <x:f>F46+G46+H46-I46</x:f>
        <x:v>88997</x:v>
      </x:c>
      <x:c r="K46" s="12" t="inlineStr">
        <x:is>
          <x:t xml:space="preserve">Verified</x:t>
        </x:is>
      </x:c>
      <x:c r="L46" s="12" t="inlineStr">
        <x:is>
          <x:t xml:space="preserve">Verified</x:t>
        </x:is>
      </x:c>
      <x:c r="M46" s="12" t="n">
        <x:v>19</x:v>
      </x:c>
      <x:c r="N46" s="12" t="n">
        <x:v>3</x:v>
      </x:c>
      <x:c r="O46" s="12" t="inlineStr">
        <x:is>
          <x:t xml:space="preserve">Processed</x:t>
        </x:is>
      </x:c>
    </x:row>
    <x:row r="47">
      <x:c r="A47" s="5" t="inlineStr">
        <x:is>
          <x:t xml:space="preserve">EMP74038</x:t>
        </x:is>
      </x:c>
      <x:c r="B47" s="6" t="inlineStr">
        <x:is>
          <x:t xml:space="preserve">Kavya Shah</x:t>
        </x:is>
      </x:c>
      <x:c r="C47" s="6" t="inlineStr">
        <x:is>
          <x:t xml:space="preserve">Audit Support</x:t>
        </x:is>
      </x:c>
      <x:c r="D47" s="5" t="inlineStr">
        <x:is>
          <x:t xml:space="preserve">Kolkata</x:t>
        </x:is>
      </x:c>
      <x:c r="E47" s="36" t="n">
        <x:v>45294</x:v>
      </x:c>
      <x:c r="F47" s="38" t="n">
        <x:v>41283</x:v>
      </x:c>
      <x:c r="G47" s="38" t="n">
        <x:v>14449</x:v>
      </x:c>
      <x:c r="H47" s="38" t="n">
        <x:v>9000</x:v>
      </x:c>
      <x:c r="I47" s="38" t="n">
        <x:v>6667</x:v>
      </x:c>
      <x:c r="J47" s="39">
        <x:f>F47+G47+H47-I47</x:f>
        <x:v>58065</x:v>
      </x:c>
      <x:c r="K47" s="12" t="inlineStr">
        <x:is>
          <x:t xml:space="preserve">Verified</x:t>
        </x:is>
      </x:c>
      <x:c r="L47" s="12" t="inlineStr">
        <x:is>
          <x:t xml:space="preserve">Pending</x:t>
        </x:is>
      </x:c>
      <x:c r="M47" s="12" t="n">
        <x:v>28</x:v>
      </x:c>
      <x:c r="N47" s="12" t="n">
        <x:v>2</x:v>
      </x:c>
      <x:c r="O47" s="12" t="inlineStr">
        <x:is>
          <x:t xml:space="preserve">Processed</x:t>
        </x:is>
      </x:c>
    </x:row>
    <x:row r="48">
      <x:c r="A48" s="5" t="inlineStr">
        <x:is>
          <x:t xml:space="preserve">EMP79588</x:t>
        </x:is>
      </x:c>
      <x:c r="B48" s="6" t="inlineStr">
        <x:is>
          <x:t xml:space="preserve">Oliver Martin</x:t>
        </x:is>
      </x:c>
      <x:c r="C48" s="6" t="inlineStr">
        <x:is>
          <x:t xml:space="preserve">Tax Support</x:t>
        </x:is>
      </x:c>
      <x:c r="D48" s="5" t="inlineStr">
        <x:is>
          <x:t xml:space="preserve">Gurgaon</x:t>
        </x:is>
      </x:c>
      <x:c r="E48" s="36" t="n">
        <x:v>45275</x:v>
      </x:c>
      <x:c r="F48" s="38" t="n">
        <x:v>39754</x:v>
      </x:c>
      <x:c r="G48" s="38" t="n">
        <x:v>15902</x:v>
      </x:c>
      <x:c r="H48" s="38" t="n">
        <x:v>6000</x:v>
      </x:c>
      <x:c r="I48" s="38" t="n">
        <x:v>2888</x:v>
      </x:c>
      <x:c r="J48" s="39">
        <x:f>F48+G48+H48-I48</x:f>
        <x:v>58768</x:v>
      </x:c>
      <x:c r="K48" s="12" t="inlineStr">
        <x:is>
          <x:t xml:space="preserve">Verified</x:t>
        </x:is>
      </x:c>
      <x:c r="L48" s="12" t="inlineStr">
        <x:is>
          <x:t xml:space="preserve">Verified</x:t>
        </x:is>
      </x:c>
      <x:c r="M48" s="12" t="n">
        <x:v>23</x:v>
      </x:c>
      <x:c r="N48" s="12" t="n">
        <x:v>1</x:v>
      </x:c>
      <x:c r="O48" s="12" t="inlineStr">
        <x:is>
          <x:t xml:space="preserve">Processed</x:t>
        </x:is>
      </x:c>
    </x:row>
    <x:row r="49">
      <x:c r="A49" s="5" t="inlineStr">
        <x:is>
          <x:t xml:space="preserve">EMP34267</x:t>
        </x:is>
      </x:c>
      <x:c r="B49" s="6" t="inlineStr">
        <x:is>
          <x:t xml:space="preserve">Emma Pillai</x:t>
        </x:is>
      </x:c>
      <x:c r="C49" s="6" t="inlineStr">
        <x:is>
          <x:t xml:space="preserve">Audit Support</x:t>
        </x:is>
      </x:c>
      <x:c r="D49" s="5" t="inlineStr">
        <x:is>
          <x:t xml:space="preserve">Chennai</x:t>
        </x:is>
      </x:c>
      <x:c r="E49" s="36" t="n">
        <x:v>44984</x:v>
      </x:c>
      <x:c r="F49" s="38" t="n">
        <x:v>34721</x:v>
      </x:c>
      <x:c r="G49" s="38" t="n">
        <x:v>13888</x:v>
      </x:c>
      <x:c r="H49" s="38" t="n">
        <x:v>4500</x:v>
      </x:c>
      <x:c r="I49" s="38" t="n">
        <x:v>3956</x:v>
      </x:c>
      <x:c r="J49" s="39">
        <x:f>F49+G49+H49-I49</x:f>
        <x:v>49153</x:v>
      </x:c>
      <x:c r="K49" s="12" t="inlineStr">
        <x:is>
          <x:t xml:space="preserve">Verified</x:t>
        </x:is>
      </x:c>
      <x:c r="L49" s="12" t="inlineStr">
        <x:is>
          <x:t xml:space="preserve">Pending</x:t>
        </x:is>
      </x:c>
      <x:c r="M49" s="12" t="n">
        <x:v>18</x:v>
      </x:c>
      <x:c r="N49" s="12" t="n">
        <x:v>8</x:v>
      </x:c>
      <x:c r="O49" s="12" t="inlineStr">
        <x:is>
          <x:t xml:space="preserve">Processed</x:t>
        </x:is>
      </x:c>
    </x:row>
    <x:row r="50">
      <x:c r="A50" s="5" t="inlineStr">
        <x:is>
          <x:t xml:space="preserve">EMP15965</x:t>
        </x:is>
      </x:c>
      <x:c r="B50" s="6" t="inlineStr">
        <x:is>
          <x:t xml:space="preserve">Amira Nair</x:t>
        </x:is>
      </x:c>
      <x:c r="C50" s="6" t="inlineStr">
        <x:is>
          <x:t xml:space="preserve">Talent Ops</x:t>
        </x:is>
      </x:c>
      <x:c r="D50" s="5" t="inlineStr">
        <x:is>
          <x:t xml:space="preserve">Mumbai</x:t>
        </x:is>
      </x:c>
      <x:c r="E50" s="36" t="n">
        <x:v>45350</x:v>
      </x:c>
      <x:c r="F50" s="38" t="n">
        <x:v>22803</x:v>
      </x:c>
      <x:c r="G50" s="38" t="n">
        <x:v>10261</x:v>
      </x:c>
      <x:c r="H50" s="38" t="n">
        <x:v>6000</x:v>
      </x:c>
      <x:c r="I50" s="38" t="n">
        <x:v>4845</x:v>
      </x:c>
      <x:c r="J50" s="39">
        <x:f>F50+G50+H50-I50</x:f>
        <x:v>34219</x:v>
      </x:c>
      <x:c r="K50" s="12" t="inlineStr">
        <x:is>
          <x:t xml:space="preserve">Active</x:t>
        </x:is>
      </x:c>
      <x:c r="L50" s="12" t="inlineStr">
        <x:is>
          <x:t xml:space="preserve">Pending</x:t>
        </x:is>
      </x:c>
      <x:c r="M50" s="12" t="n">
        <x:v>23</x:v>
      </x:c>
      <x:c r="N50" s="12" t="n">
        <x:v>2</x:v>
      </x:c>
      <x:c r="O50" s="12" t="inlineStr">
        <x:is>
          <x:t xml:space="preserve">Hold</x:t>
        </x:is>
      </x:c>
    </x:row>
    <x:row r="51">
      <x:c r="A51" s="5" t="inlineStr">
        <x:is>
          <x:t xml:space="preserve">EMP43092</x:t>
        </x:is>
      </x:c>
      <x:c r="B51" s="6" t="inlineStr">
        <x:is>
          <x:t xml:space="preserve">William Davis</x:t>
        </x:is>
      </x:c>
      <x:c r="C51" s="6" t="inlineStr">
        <x:is>
          <x:t xml:space="preserve">HR Shared Services</x:t>
        </x:is>
      </x:c>
      <x:c r="D51" s="5" t="inlineStr">
        <x:is>
          <x:t xml:space="preserve">Noida</x:t>
        </x:is>
      </x:c>
      <x:c r="E51" s="36" t="n">
        <x:v>45341</x:v>
      </x:c>
      <x:c r="F51" s="38" t="n">
        <x:v>63251</x:v>
      </x:c>
      <x:c r="G51" s="38" t="n">
        <x:v>28463</x:v>
      </x:c>
      <x:c r="H51" s="38" t="n">
        <x:v>1500</x:v>
      </x:c>
      <x:c r="I51" s="38" t="n">
        <x:v>2242</x:v>
      </x:c>
      <x:c r="J51" s="39">
        <x:f>F51+G51+H51-I51</x:f>
        <x:v>90972</x:v>
      </x:c>
      <x:c r="K51" s="12" t="inlineStr">
        <x:is>
          <x:t xml:space="preserve">Verified</x:t>
        </x:is>
      </x:c>
      <x:c r="L51" s="12" t="inlineStr">
        <x:is>
          <x:t xml:space="preserve">Pending</x:t>
        </x:is>
      </x:c>
      <x:c r="M51" s="12" t="n">
        <x:v>19</x:v>
      </x:c>
      <x:c r="N51" s="12" t="n">
        <x:v>3</x:v>
      </x:c>
      <x:c r="O51" s="12" t="inlineStr">
        <x:is>
          <x:t xml:space="preserve">Processed</x:t>
        </x:is>
      </x:c>
    </x:row>
    <x:row r="52">
      <x:c r="A52" s="5" t="inlineStr">
        <x:is>
          <x:t xml:space="preserve">EMP64548</x:t>
        </x:is>
      </x:c>
      <x:c r="B52" s="6" t="inlineStr">
        <x:is>
          <x:t xml:space="preserve">James Singh</x:t>
        </x:is>
      </x:c>
      <x:c r="C52" s="6" t="inlineStr">
        <x:is>
          <x:t xml:space="preserve">Tax Support</x:t>
        </x:is>
      </x:c>
      <x:c r="D52" s="5" t="inlineStr">
        <x:is>
          <x:t xml:space="preserve">Noida</x:t>
        </x:is>
      </x:c>
      <x:c r="E52" s="36" t="n">
        <x:v>45514</x:v>
      </x:c>
      <x:c r="F52" s="38" t="n">
        <x:v>63888</x:v>
      </x:c>
      <x:c r="G52" s="38" t="n">
        <x:v>24228</x:v>
      </x:c>
      <x:c r="H52" s="38" t="n">
        <x:v>6000</x:v>
      </x:c>
      <x:c r="I52" s="38" t="n">
        <x:v>5658</x:v>
      </x:c>
      <x:c r="J52" s="39">
        <x:f>F52+G52+H52-I52</x:f>
        <x:v>88458</x:v>
      </x:c>
      <x:c r="K52" s="12" t="inlineStr">
        <x:is>
          <x:t xml:space="preserve">Pending Verification</x:t>
        </x:is>
      </x:c>
      <x:c r="L52" s="12" t="inlineStr">
        <x:is>
          <x:t xml:space="preserve">Verified</x:t>
        </x:is>
      </x:c>
      <x:c r="M52" s="12" t="n">
        <x:v>27</x:v>
      </x:c>
      <x:c r="N52" s="12" t="n">
        <x:v>0</x:v>
      </x:c>
      <x:c r="O52" s="12" t="inlineStr">
        <x:is>
          <x:t xml:space="preserve">Hold</x:t>
        </x:is>
      </x:c>
    </x:row>
    <x:row r="53">
      <x:c r="A53" s="5" t="inlineStr">
        <x:is>
          <x:t xml:space="preserve">EMP37235</x:t>
        </x:is>
      </x:c>
      <x:c r="B53" s="6" t="inlineStr">
        <x:is>
          <x:t xml:space="preserve">Isla Jackson</x:t>
        </x:is>
      </x:c>
      <x:c r="C53" s="6" t="inlineStr">
        <x:is>
          <x:t xml:space="preserve">HR Shared Services</x:t>
        </x:is>
      </x:c>
      <x:c r="D53" s="5" t="inlineStr">
        <x:is>
          <x:t xml:space="preserve">Mumbai</x:t>
        </x:is>
      </x:c>
      <x:c r="E53" s="36" t="n">
        <x:v>44638</x:v>
      </x:c>
      <x:c r="F53" s="38" t="n">
        <x:v>26919</x:v>
      </x:c>
      <x:c r="G53" s="38" t="n">
        <x:v>9422</x:v>
      </x:c>
      <x:c r="H53" s="38" t="n">
        <x:v>1500</x:v>
      </x:c>
      <x:c r="I53" s="38" t="n">
        <x:v>4346</x:v>
      </x:c>
      <x:c r="J53" s="39">
        <x:f>F53+G53+H53-I53</x:f>
        <x:v>33495</x:v>
      </x:c>
      <x:c r="K53" s="12" t="inlineStr">
        <x:is>
          <x:t xml:space="preserve">Active</x:t>
        </x:is>
      </x:c>
      <x:c r="L53" s="12" t="inlineStr">
        <x:is>
          <x:t xml:space="preserve">Pending</x:t>
        </x:is>
      </x:c>
      <x:c r="M53" s="12" t="n">
        <x:v>22</x:v>
      </x:c>
      <x:c r="N53" s="12" t="n">
        <x:v>0</x:v>
      </x:c>
      <x:c r="O53" s="12" t="inlineStr">
        <x:is>
          <x:t xml:space="preserve">Processed</x:t>
        </x:is>
      </x:c>
    </x:row>
    <x:row r="54">
      <x:c r="A54" s="5" t="inlineStr">
        <x:is>
          <x:t xml:space="preserve">EMP47056</x:t>
        </x:is>
      </x:c>
      <x:c r="B54" s="6" t="inlineStr">
        <x:is>
          <x:t xml:space="preserve">Vikram Brown</x:t>
        </x:is>
      </x:c>
      <x:c r="C54" s="6" t="inlineStr">
        <x:is>
          <x:t xml:space="preserve">Benefits Team</x:t>
        </x:is>
      </x:c>
      <x:c r="D54" s="5" t="inlineStr">
        <x:is>
          <x:t xml:space="preserve">Chennai</x:t>
        </x:is>
      </x:c>
      <x:c r="E54" s="36" t="n">
        <x:v>44746</x:v>
      </x:c>
      <x:c r="F54" s="38" t="n">
        <x:v>57688</x:v>
      </x:c>
      <x:c r="G54" s="38" t="n">
        <x:v>20191</x:v>
      </x:c>
      <x:c r="H54" s="38" t="n">
        <x:v>3000</x:v>
      </x:c>
      <x:c r="I54" s="38" t="n">
        <x:v>3176</x:v>
      </x:c>
      <x:c r="J54" s="39">
        <x:f>F54+G54+H54-I54</x:f>
        <x:v>77703</x:v>
      </x:c>
      <x:c r="K54" s="12" t="inlineStr">
        <x:is>
          <x:t xml:space="preserve">Verified</x:t>
        </x:is>
      </x:c>
      <x:c r="L54" s="12" t="inlineStr">
        <x:is>
          <x:t xml:space="preserve">Verified</x:t>
        </x:is>
      </x:c>
      <x:c r="M54" s="12" t="n">
        <x:v>18</x:v>
      </x:c>
      <x:c r="N54" s="12" t="n">
        <x:v>2</x:v>
      </x:c>
      <x:c r="O54" s="12" t="inlineStr">
        <x:is>
          <x:t xml:space="preserve">Pending</x:t>
        </x:is>
      </x:c>
    </x:row>
    <x:row r="55">
      <x:c r="A55" s="5" t="inlineStr">
        <x:is>
          <x:t xml:space="preserve">EMP87993</x:t>
        </x:is>
      </x:c>
      <x:c r="B55" s="6" t="inlineStr">
        <x:is>
          <x:t xml:space="preserve">Lucas Mehta</x:t>
        </x:is>
      </x:c>
      <x:c r="C55" s="6" t="inlineStr">
        <x:is>
          <x:t xml:space="preserve">HR Shared Services</x:t>
        </x:is>
      </x:c>
      <x:c r="D55" s="5" t="inlineStr">
        <x:is>
          <x:t xml:space="preserve">Kolkata</x:t>
        </x:is>
      </x:c>
      <x:c r="E55" s="36" t="n">
        <x:v>45273</x:v>
      </x:c>
      <x:c r="F55" s="38" t="n">
        <x:v>39841</x:v>
      </x:c>
      <x:c r="G55" s="38" t="n">
        <x:v>17928</x:v>
      </x:c>
      <x:c r="H55" s="38" t="n">
        <x:v>12000</x:v>
      </x:c>
      <x:c r="I55" s="38" t="n">
        <x:v>4586</x:v>
      </x:c>
      <x:c r="J55" s="39">
        <x:f>F55+G55+H55-I55</x:f>
        <x:v>65183</x:v>
      </x:c>
      <x:c r="K55" s="12" t="inlineStr">
        <x:is>
          <x:t xml:space="preserve">Verified</x:t>
        </x:is>
      </x:c>
      <x:c r="L55" s="12" t="inlineStr">
        <x:is>
          <x:t xml:space="preserve">Verified</x:t>
        </x:is>
      </x:c>
      <x:c r="M55" s="12" t="n">
        <x:v>24</x:v>
      </x:c>
      <x:c r="N55" s="12" t="n">
        <x:v>5</x:v>
      </x:c>
      <x:c r="O55" s="12" t="inlineStr">
        <x:is>
          <x:t xml:space="preserve">Processed</x:t>
        </x:is>
      </x:c>
    </x:row>
    <x:row r="56">
      <x:c r="A56" s="5" t="inlineStr">
        <x:is>
          <x:t xml:space="preserve">EMP13390</x:t>
        </x:is>
      </x:c>
      <x:c r="B56" s="6" t="inlineStr">
        <x:is>
          <x:t xml:space="preserve">Arjun Iyer</x:t>
        </x:is>
      </x:c>
      <x:c r="C56" s="6" t="inlineStr">
        <x:is>
          <x:t xml:space="preserve">Consulting Ops</x:t>
        </x:is>
      </x:c>
      <x:c r="D56" s="5" t="inlineStr">
        <x:is>
          <x:t xml:space="preserve">Hyderabad</x:t>
        </x:is>
      </x:c>
      <x:c r="E56" s="36" t="n">
        <x:v>45201</x:v>
      </x:c>
      <x:c r="F56" s="38" t="n">
        <x:v>68617</x:v>
      </x:c>
      <x:c r="G56" s="38" t="n">
        <x:v>25204</x:v>
      </x:c>
      <x:c r="H56" s="38" t="n">
        <x:v>12000</x:v>
      </x:c>
      <x:c r="I56" s="38" t="n">
        <x:v>5251</x:v>
      </x:c>
      <x:c r="J56" s="39">
        <x:f>F56+G56+H56-I56</x:f>
        <x:v>100570</x:v>
      </x:c>
      <x:c r="K56" s="12" t="inlineStr">
        <x:is>
          <x:t xml:space="preserve">Pending Verification</x:t>
        </x:is>
      </x:c>
      <x:c r="L56" s="12" t="inlineStr">
        <x:is>
          <x:t xml:space="preserve">Pending</x:t>
        </x:is>
      </x:c>
      <x:c r="M56" s="12" t="n">
        <x:v>22</x:v>
      </x:c>
      <x:c r="N56" s="12" t="n">
        <x:v>2</x:v>
      </x:c>
      <x:c r="O56" s="12" t="inlineStr">
        <x:is>
          <x:t xml:space="preserve">Hold</x:t>
        </x:is>
      </x:c>
    </x:row>
    <x:row r="57">
      <x:c r="A57" s="5" t="inlineStr">
        <x:is>
          <x:t xml:space="preserve">EMP67132</x:t>
        </x:is>
      </x:c>
      <x:c r="B57" s="6" t="inlineStr">
        <x:is>
          <x:t xml:space="preserve">Charlotte Brown</x:t>
        </x:is>
      </x:c>
      <x:c r="C57" s="6" t="inlineStr">
        <x:is>
          <x:t xml:space="preserve">Audit Support</x:t>
        </x:is>
      </x:c>
      <x:c r="D57" s="5" t="inlineStr">
        <x:is>
          <x:t xml:space="preserve">Gurgaon</x:t>
        </x:is>
      </x:c>
      <x:c r="E57" s="36" t="n">
        <x:v>45454</x:v>
      </x:c>
      <x:c r="F57" s="38" t="n">
        <x:v>65917</x:v>
      </x:c>
      <x:c r="G57" s="38" t="n">
        <x:v>23071</x:v>
      </x:c>
      <x:c r="H57" s="38" t="n">
        <x:v>3000</x:v>
      </x:c>
      <x:c r="I57" s="38" t="n">
        <x:v>3701</x:v>
      </x:c>
      <x:c r="J57" s="39">
        <x:f>F57+G57+H57-I57</x:f>
        <x:v>88287</x:v>
      </x:c>
      <x:c r="K57" s="12" t="inlineStr">
        <x:is>
          <x:t xml:space="preserve">Active</x:t>
        </x:is>
      </x:c>
      <x:c r="L57" s="12" t="inlineStr">
        <x:is>
          <x:t xml:space="preserve">Pending</x:t>
        </x:is>
      </x:c>
      <x:c r="M57" s="12" t="n">
        <x:v>22</x:v>
      </x:c>
      <x:c r="N57" s="12" t="n">
        <x:v>6</x:v>
      </x:c>
      <x:c r="O57" s="12" t="inlineStr">
        <x:is>
          <x:t xml:space="preserve">Pending</x:t>
        </x:is>
      </x:c>
    </x:row>
    <x:row r="58">
      <x:c r="A58" s="5" t="inlineStr">
        <x:is>
          <x:t xml:space="preserve">EMP82102</x:t>
        </x:is>
      </x:c>
      <x:c r="B58" s="6" t="inlineStr">
        <x:is>
          <x:t xml:space="preserve">Akash Mehta</x:t>
        </x:is>
      </x:c>
      <x:c r="C58" s="6" t="inlineStr">
        <x:is>
          <x:t xml:space="preserve">HR Shared Services</x:t>
        </x:is>
      </x:c>
      <x:c r="D58" s="5" t="inlineStr">
        <x:is>
          <x:t xml:space="preserve">Gurgaon</x:t>
        </x:is>
      </x:c>
      <x:c r="E58" s="36" t="n">
        <x:v>45081</x:v>
      </x:c>
      <x:c r="F58" s="38" t="n">
        <x:v>72629</x:v>
      </x:c>
      <x:c r="G58" s="38" t="n">
        <x:v>29052</x:v>
      </x:c>
      <x:c r="H58" s="38" t="n">
        <x:v>1500</x:v>
      </x:c>
      <x:c r="I58" s="38" t="n">
        <x:v>6387</x:v>
      </x:c>
      <x:c r="J58" s="39">
        <x:f>F58+G58+H58-I58</x:f>
        <x:v>96794</x:v>
      </x:c>
      <x:c r="K58" s="12" t="inlineStr">
        <x:is>
          <x:t xml:space="preserve">Pending Verification</x:t>
        </x:is>
      </x:c>
      <x:c r="L58" s="12" t="inlineStr">
        <x:is>
          <x:t xml:space="preserve">Pending</x:t>
        </x:is>
      </x:c>
      <x:c r="M58" s="12" t="n">
        <x:v>24</x:v>
      </x:c>
      <x:c r="N58" s="12" t="n">
        <x:v>0</x:v>
      </x:c>
      <x:c r="O58" s="12" t="inlineStr">
        <x:is>
          <x:t xml:space="preserve">Processed</x:t>
        </x:is>
      </x:c>
    </x:row>
    <x:row r="59">
      <x:c r="A59" s="5" t="inlineStr">
        <x:is>
          <x:t xml:space="preserve">EMP57419</x:t>
        </x:is>
      </x:c>
      <x:c r="B59" s="6" t="inlineStr">
        <x:is>
          <x:t xml:space="preserve">Charlotte Rao</x:t>
        </x:is>
      </x:c>
      <x:c r="C59" s="6" t="inlineStr">
        <x:is>
          <x:t xml:space="preserve">Audit Support</x:t>
        </x:is>
      </x:c>
      <x:c r="D59" s="5" t="inlineStr">
        <x:is>
          <x:t xml:space="preserve">Hyderabad</x:t>
        </x:is>
      </x:c>
      <x:c r="E59" s="36" t="n">
        <x:v>44699</x:v>
      </x:c>
      <x:c r="F59" s="38" t="n">
        <x:v>30586</x:v>
      </x:c>
      <x:c r="G59" s="38" t="n">
        <x:v>12234</x:v>
      </x:c>
      <x:c r="H59" s="38" t="n">
        <x:v>12000</x:v>
      </x:c>
      <x:c r="I59" s="38" t="n">
        <x:v>6720</x:v>
      </x:c>
      <x:c r="J59" s="39">
        <x:f>F59+G59+H59-I59</x:f>
        <x:v>48100</x:v>
      </x:c>
      <x:c r="K59" s="12" t="inlineStr">
        <x:is>
          <x:t xml:space="preserve">Active</x:t>
        </x:is>
      </x:c>
      <x:c r="L59" s="12" t="inlineStr">
        <x:is>
          <x:t xml:space="preserve">Verified</x:t>
        </x:is>
      </x:c>
      <x:c r="M59" s="12" t="n">
        <x:v>18</x:v>
      </x:c>
      <x:c r="N59" s="12" t="n">
        <x:v>3</x:v>
      </x:c>
      <x:c r="O59" s="12" t="inlineStr">
        <x:is>
          <x:t xml:space="preserve">Processed</x:t>
        </x:is>
      </x:c>
    </x:row>
    <x:row r="60">
      <x:c r="A60" s="5" t="inlineStr">
        <x:is>
          <x:t xml:space="preserve">EMP50730</x:t>
        </x:is>
      </x:c>
      <x:c r="B60" s="6" t="inlineStr">
        <x:is>
          <x:t xml:space="preserve">Aarav Nair</x:t>
        </x:is>
      </x:c>
      <x:c r="C60" s="6" t="inlineStr">
        <x:is>
          <x:t xml:space="preserve">Risk Advisory</x:t>
        </x:is>
      </x:c>
      <x:c r="D60" s="5" t="inlineStr">
        <x:is>
          <x:t xml:space="preserve">Bengaluru</x:t>
        </x:is>
      </x:c>
      <x:c r="E60" s="36" t="n">
        <x:v>44607</x:v>
      </x:c>
      <x:c r="F60" s="38" t="n">
        <x:v>29698</x:v>
      </x:c>
      <x:c r="G60" s="38" t="n">
        <x:v>13364</x:v>
      </x:c>
      <x:c r="H60" s="38" t="n">
        <x:v>3000</x:v>
      </x:c>
      <x:c r="I60" s="38" t="n">
        <x:v>5082</x:v>
      </x:c>
      <x:c r="J60" s="39">
        <x:f>F60+G60+H60-I60</x:f>
        <x:v>40980</x:v>
      </x:c>
      <x:c r="K60" s="12" t="inlineStr">
        <x:is>
          <x:t xml:space="preserve">Pending Verification</x:t>
        </x:is>
      </x:c>
      <x:c r="L60" s="12" t="inlineStr">
        <x:is>
          <x:t xml:space="preserve">Pending</x:t>
        </x:is>
      </x:c>
      <x:c r="M60" s="12" t="n">
        <x:v>26</x:v>
      </x:c>
      <x:c r="N60" s="12" t="n">
        <x:v>5</x:v>
      </x:c>
      <x:c r="O60" s="12" t="inlineStr">
        <x:is>
          <x:t xml:space="preserve">Hold</x:t>
        </x:is>
      </x:c>
    </x:row>
    <x:row r="61">
      <x:c r="A61" s="5" t="inlineStr">
        <x:is>
          <x:t xml:space="preserve">EMP73242</x:t>
        </x:is>
      </x:c>
      <x:c r="B61" s="6" t="inlineStr">
        <x:is>
          <x:t xml:space="preserve">William Iyer</x:t>
        </x:is>
      </x:c>
      <x:c r="C61" s="6" t="inlineStr">
        <x:is>
          <x:t xml:space="preserve">Audit Support</x:t>
        </x:is>
      </x:c>
      <x:c r="D61" s="5" t="inlineStr">
        <x:is>
          <x:t xml:space="preserve">Mumbai</x:t>
        </x:is>
      </x:c>
      <x:c r="E61" s="36" t="n">
        <x:v>45402</x:v>
      </x:c>
      <x:c r="F61" s="38" t="n">
        <x:v>55308</x:v>
      </x:c>
      <x:c r="G61" s="38" t="n">
        <x:v>24889</x:v>
      </x:c>
      <x:c r="H61" s="38" t="n">
        <x:v>3000</x:v>
      </x:c>
      <x:c r="I61" s="38" t="n">
        <x:v>1571</x:v>
      </x:c>
      <x:c r="J61" s="39">
        <x:f>F61+G61+H61-I61</x:f>
        <x:v>81626</x:v>
      </x:c>
      <x:c r="K61" s="12" t="inlineStr">
        <x:is>
          <x:t xml:space="preserve">Active</x:t>
        </x:is>
      </x:c>
      <x:c r="L61" s="12" t="inlineStr">
        <x:is>
          <x:t xml:space="preserve">Pending</x:t>
        </x:is>
      </x:c>
      <x:c r="M61" s="12" t="n">
        <x:v>23</x:v>
      </x:c>
      <x:c r="N61" s="12" t="n">
        <x:v>8</x:v>
      </x:c>
      <x:c r="O61" s="12" t="inlineStr">
        <x:is>
          <x:t xml:space="preserve">Processed</x:t>
        </x:is>
      </x:c>
    </x:row>
    <x:row r="62">
      <x:c r="A62" s="5" t="inlineStr">
        <x:is>
          <x:t xml:space="preserve">EMP10336</x:t>
        </x:is>
      </x:c>
      <x:c r="B62" s="6" t="inlineStr">
        <x:is>
          <x:t xml:space="preserve">Lucas Sharma</x:t>
        </x:is>
      </x:c>
      <x:c r="C62" s="6" t="inlineStr">
        <x:is>
          <x:t xml:space="preserve">Talent Ops</x:t>
        </x:is>
      </x:c>
      <x:c r="D62" s="5" t="inlineStr">
        <x:is>
          <x:t xml:space="preserve">Kolkata</x:t>
        </x:is>
      </x:c>
      <x:c r="E62" s="36" t="n">
        <x:v>44791</x:v>
      </x:c>
      <x:c r="F62" s="38" t="n">
        <x:v>53741</x:v>
      </x:c>
      <x:c r="G62" s="38" t="n">
        <x:v>21496</x:v>
      </x:c>
      <x:c r="H62" s="38" t="n">
        <x:v>7500</x:v>
      </x:c>
      <x:c r="I62" s="38" t="n">
        <x:v>5521</x:v>
      </x:c>
      <x:c r="J62" s="39">
        <x:f>F62+G62+H62-I62</x:f>
        <x:v>77216</x:v>
      </x:c>
      <x:c r="K62" s="12" t="inlineStr">
        <x:is>
          <x:t xml:space="preserve">Pending Verification</x:t>
        </x:is>
      </x:c>
      <x:c r="L62" s="12" t="inlineStr">
        <x:is>
          <x:t xml:space="preserve">Pending</x:t>
        </x:is>
      </x:c>
      <x:c r="M62" s="12" t="n">
        <x:v>25</x:v>
      </x:c>
      <x:c r="N62" s="12" t="n">
        <x:v>2</x:v>
      </x:c>
      <x:c r="O62" s="12" t="inlineStr">
        <x:is>
          <x:t xml:space="preserve">Pending</x:t>
        </x:is>
      </x:c>
    </x:row>
    <x:row r="63">
      <x:c r="A63" s="5" t="inlineStr">
        <x:is>
          <x:t xml:space="preserve">EMP41300</x:t>
        </x:is>
      </x:c>
      <x:c r="B63" s="6" t="inlineStr">
        <x:is>
          <x:t xml:space="preserve">Priya Iyer</x:t>
        </x:is>
      </x:c>
      <x:c r="C63" s="6" t="inlineStr">
        <x:is>
          <x:t xml:space="preserve">Risk Advisory</x:t>
        </x:is>
      </x:c>
      <x:c r="D63" s="5" t="inlineStr">
        <x:is>
          <x:t xml:space="preserve">Hyderabad</x:t>
        </x:is>
      </x:c>
      <x:c r="E63" s="36" t="n">
        <x:v>45276</x:v>
      </x:c>
      <x:c r="F63" s="38" t="n">
        <x:v>68217</x:v>
      </x:c>
      <x:c r="G63" s="38" t="n">
        <x:v>27287</x:v>
      </x:c>
      <x:c r="H63" s="38" t="n">
        <x:v>9000</x:v>
      </x:c>
      <x:c r="I63" s="38" t="n">
        <x:v>6436</x:v>
      </x:c>
      <x:c r="J63" s="39">
        <x:f>F63+G63+H63-I63</x:f>
        <x:v>98068</x:v>
      </x:c>
      <x:c r="K63" s="12" t="inlineStr">
        <x:is>
          <x:t xml:space="preserve">Pending Verification</x:t>
        </x:is>
      </x:c>
      <x:c r="L63" s="12" t="inlineStr">
        <x:is>
          <x:t xml:space="preserve">Verified</x:t>
        </x:is>
      </x:c>
      <x:c r="M63" s="12" t="n">
        <x:v>25</x:v>
      </x:c>
      <x:c r="N63" s="12" t="n">
        <x:v>0</x:v>
      </x:c>
      <x:c r="O63" s="12" t="inlineStr">
        <x:is>
          <x:t xml:space="preserve">Processed</x:t>
        </x:is>
      </x:c>
    </x:row>
    <x:row r="64">
      <x:c r="A64" s="5" t="inlineStr">
        <x:is>
          <x:t xml:space="preserve">EMP87356</x:t>
        </x:is>
      </x:c>
      <x:c r="B64" s="6" t="inlineStr">
        <x:is>
          <x:t xml:space="preserve">Noah Thompson</x:t>
        </x:is>
      </x:c>
      <x:c r="C64" s="6" t="inlineStr">
        <x:is>
          <x:t xml:space="preserve">HR Shared Services</x:t>
        </x:is>
      </x:c>
      <x:c r="D64" s="5" t="inlineStr">
        <x:is>
          <x:t xml:space="preserve">Kolkata</x:t>
        </x:is>
      </x:c>
      <x:c r="E64" s="36" t="n">
        <x:v>44454</x:v>
      </x:c>
      <x:c r="F64" s="38" t="n">
        <x:v>23005</x:v>
      </x:c>
      <x:c r="G64" s="38" t="n">
        <x:v>10352</x:v>
      </x:c>
      <x:c r="H64" s="38" t="n">
        <x:v>3000</x:v>
      </x:c>
      <x:c r="I64" s="38" t="n">
        <x:v>4358</x:v>
      </x:c>
      <x:c r="J64" s="39">
        <x:f>F64+G64+H64-I64</x:f>
        <x:v>31999</x:v>
      </x:c>
      <x:c r="K64" s="12" t="inlineStr">
        <x:is>
          <x:t xml:space="preserve">Pending Verification</x:t>
        </x:is>
      </x:c>
      <x:c r="L64" s="12" t="inlineStr">
        <x:is>
          <x:t xml:space="preserve">Verified</x:t>
        </x:is>
      </x:c>
      <x:c r="M64" s="12" t="n">
        <x:v>19</x:v>
      </x:c>
      <x:c r="N64" s="12" t="n">
        <x:v>7</x:v>
      </x:c>
      <x:c r="O64" s="12" t="inlineStr">
        <x:is>
          <x:t xml:space="preserve">Pending</x:t>
        </x:is>
      </x:c>
    </x:row>
    <x:row r="65">
      <x:c r="A65" s="5" t="inlineStr">
        <x:is>
          <x:t xml:space="preserve">EMP44737</x:t>
        </x:is>
      </x:c>
      <x:c r="B65" s="6" t="inlineStr">
        <x:is>
          <x:t xml:space="preserve">Noah Pillai</x:t>
        </x:is>
      </x:c>
      <x:c r="C65" s="6" t="inlineStr">
        <x:is>
          <x:t xml:space="preserve">Risk Advisory</x:t>
        </x:is>
      </x:c>
      <x:c r="D65" s="5" t="inlineStr">
        <x:is>
          <x:t xml:space="preserve">Bengaluru</x:t>
        </x:is>
      </x:c>
      <x:c r="E65" s="36" t="n">
        <x:v>45258</x:v>
      </x:c>
      <x:c r="F65" s="38" t="n">
        <x:v>56971</x:v>
      </x:c>
      <x:c r="G65" s="38" t="n">
        <x:v>22788</x:v>
      </x:c>
      <x:c r="H65" s="38" t="n">
        <x:v>7500</x:v>
      </x:c>
      <x:c r="I65" s="38" t="n">
        <x:v>6134</x:v>
      </x:c>
      <x:c r="J65" s="39">
        <x:f>F65+G65+H65-I65</x:f>
        <x:v>81125</x:v>
      </x:c>
      <x:c r="K65" s="12" t="inlineStr">
        <x:is>
          <x:t xml:space="preserve">Pending Verification</x:t>
        </x:is>
      </x:c>
      <x:c r="L65" s="12" t="inlineStr">
        <x:is>
          <x:t xml:space="preserve">Pending</x:t>
        </x:is>
      </x:c>
      <x:c r="M65" s="12" t="n">
        <x:v>31</x:v>
      </x:c>
      <x:c r="N65" s="12" t="n">
        <x:v>0</x:v>
      </x:c>
      <x:c r="O65" s="12" t="inlineStr">
        <x:is>
          <x:t xml:space="preserve">Processed</x:t>
        </x:is>
      </x:c>
    </x:row>
    <x:row r="66">
      <x:c r="A66" s="5" t="inlineStr">
        <x:is>
          <x:t xml:space="preserve">EMP40771</x:t>
        </x:is>
      </x:c>
      <x:c r="B66" s="6" t="inlineStr">
        <x:is>
          <x:t xml:space="preserve">Lucas Iyer</x:t>
        </x:is>
      </x:c>
      <x:c r="C66" s="6" t="inlineStr">
        <x:is>
          <x:t xml:space="preserve">HR Shared Services</x:t>
        </x:is>
      </x:c>
      <x:c r="D66" s="5" t="inlineStr">
        <x:is>
          <x:t xml:space="preserve">Noida</x:t>
        </x:is>
      </x:c>
      <x:c r="E66" s="36" t="n">
        <x:v>44523</x:v>
      </x:c>
      <x:c r="F66" s="38" t="n">
        <x:v>28586</x:v>
      </x:c>
      <x:c r="G66" s="38" t="n">
        <x:v>11434</x:v>
      </x:c>
      <x:c r="H66" s="38" t="n">
        <x:v>3000</x:v>
      </x:c>
      <x:c r="I66" s="38" t="n">
        <x:v>1208</x:v>
      </x:c>
      <x:c r="J66" s="39">
        <x:f>F66+G66+H66-I66</x:f>
        <x:v>41812</x:v>
      </x:c>
      <x:c r="K66" s="12" t="inlineStr">
        <x:is>
          <x:t xml:space="preserve">Active</x:t>
        </x:is>
      </x:c>
      <x:c r="L66" s="12" t="inlineStr">
        <x:is>
          <x:t xml:space="preserve">Verified</x:t>
        </x:is>
      </x:c>
      <x:c r="M66" s="12" t="n">
        <x:v>18</x:v>
      </x:c>
      <x:c r="N66" s="12" t="n">
        <x:v>5</x:v>
      </x:c>
      <x:c r="O66" s="12" t="inlineStr">
        <x:is>
          <x:t xml:space="preserve">Pending</x:t>
        </x:is>
      </x:c>
    </x:row>
    <x:row r="67">
      <x:c r="A67" s="5" t="inlineStr">
        <x:is>
          <x:t xml:space="preserve">EMP62654</x:t>
        </x:is>
      </x:c>
      <x:c r="B67" s="6" t="inlineStr">
        <x:is>
          <x:t xml:space="preserve">Oliver Kumar</x:t>
        </x:is>
      </x:c>
      <x:c r="C67" s="6" t="inlineStr">
        <x:is>
          <x:t xml:space="preserve">Risk Advisory</x:t>
        </x:is>
      </x:c>
      <x:c r="D67" s="5" t="inlineStr">
        <x:is>
          <x:t xml:space="preserve">Mumbai</x:t>
        </x:is>
      </x:c>
      <x:c r="E67" s="36" t="n">
        <x:v>44818</x:v>
      </x:c>
      <x:c r="F67" s="38" t="n">
        <x:v>59088</x:v>
      </x:c>
      <x:c r="G67" s="38" t="n">
        <x:v>26590</x:v>
      </x:c>
      <x:c r="H67" s="38" t="n">
        <x:v>3000</x:v>
      </x:c>
      <x:c r="I67" s="38" t="n">
        <x:v>2392</x:v>
      </x:c>
      <x:c r="J67" s="39">
        <x:f>F67+G67+H67-I67</x:f>
        <x:v>86286</x:v>
      </x:c>
      <x:c r="K67" s="12" t="inlineStr">
        <x:is>
          <x:t xml:space="preserve">Verified</x:t>
        </x:is>
      </x:c>
      <x:c r="L67" s="12" t="inlineStr">
        <x:is>
          <x:t xml:space="preserve">Verified</x:t>
        </x:is>
      </x:c>
      <x:c r="M67" s="12" t="n">
        <x:v>27</x:v>
      </x:c>
      <x:c r="N67" s="12" t="n">
        <x:v>3</x:v>
      </x:c>
      <x:c r="O67" s="12" t="inlineStr">
        <x:is>
          <x:t xml:space="preserve">Processed</x:t>
        </x:is>
      </x:c>
    </x:row>
    <x:row r="68">
      <x:c r="A68" s="5" t="inlineStr">
        <x:is>
          <x:t xml:space="preserve">EMP41566</x:t>
        </x:is>
      </x:c>
      <x:c r="B68" s="6" t="inlineStr">
        <x:is>
          <x:t xml:space="preserve">Charlotte White</x:t>
        </x:is>
      </x:c>
      <x:c r="C68" s="6" t="inlineStr">
        <x:is>
          <x:t xml:space="preserve">Consulting Ops</x:t>
        </x:is>
      </x:c>
      <x:c r="D68" s="5" t="inlineStr">
        <x:is>
          <x:t xml:space="preserve">Mumbai</x:t>
        </x:is>
      </x:c>
      <x:c r="E68" s="36" t="n">
        <x:v>44794</x:v>
      </x:c>
      <x:c r="F68" s="38" t="n">
        <x:v>38644</x:v>
      </x:c>
      <x:c r="G68" s="38" t="n">
        <x:v>15458</x:v>
      </x:c>
      <x:c r="H68" s="38" t="n">
        <x:v>6000</x:v>
      </x:c>
      <x:c r="I68" s="38" t="n">
        <x:v>1367</x:v>
      </x:c>
      <x:c r="J68" s="39">
        <x:f>F68+G68+H68-I68</x:f>
        <x:v>58735</x:v>
      </x:c>
      <x:c r="K68" s="12" t="inlineStr">
        <x:is>
          <x:t xml:space="preserve">Verified</x:t>
        </x:is>
      </x:c>
      <x:c r="L68" s="12" t="inlineStr">
        <x:is>
          <x:t xml:space="preserve">Pending</x:t>
        </x:is>
      </x:c>
      <x:c r="M68" s="12" t="n">
        <x:v>22</x:v>
      </x:c>
      <x:c r="N68" s="12" t="n">
        <x:v>8</x:v>
      </x:c>
      <x:c r="O68" s="12" t="inlineStr">
        <x:is>
          <x:t xml:space="preserve">Processed</x:t>
        </x:is>
      </x:c>
    </x:row>
    <x:row r="69">
      <x:c r="A69" s="5" t="inlineStr">
        <x:is>
          <x:t xml:space="preserve">EMP67898</x:t>
        </x:is>
      </x:c>
      <x:c r="B69" s="6" t="inlineStr">
        <x:is>
          <x:t xml:space="preserve">Oliver Patel</x:t>
        </x:is>
      </x:c>
      <x:c r="C69" s="6" t="inlineStr">
        <x:is>
          <x:t xml:space="preserve">Talent Ops</x:t>
        </x:is>
      </x:c>
      <x:c r="D69" s="5" t="inlineStr">
        <x:is>
          <x:t xml:space="preserve">Noida</x:t>
        </x:is>
      </x:c>
      <x:c r="E69" s="36" t="n">
        <x:v>45166</x:v>
      </x:c>
      <x:c r="F69" s="38" t="n">
        <x:v>41799</x:v>
      </x:c>
      <x:c r="G69" s="38" t="n">
        <x:v>14630</x:v>
      </x:c>
      <x:c r="H69" s="38" t="n">
        <x:v>9000</x:v>
      </x:c>
      <x:c r="I69" s="38" t="n">
        <x:v>7990</x:v>
      </x:c>
      <x:c r="J69" s="39">
        <x:f>F69+G69+H69-I69</x:f>
        <x:v>57439</x:v>
      </x:c>
      <x:c r="K69" s="12" t="inlineStr">
        <x:is>
          <x:t xml:space="preserve">Active</x:t>
        </x:is>
      </x:c>
      <x:c r="L69" s="12" t="inlineStr">
        <x:is>
          <x:t xml:space="preserve">Verified</x:t>
        </x:is>
      </x:c>
      <x:c r="M69" s="12" t="n">
        <x:v>21</x:v>
      </x:c>
      <x:c r="N69" s="12" t="n">
        <x:v>6</x:v>
      </x:c>
      <x:c r="O69" s="12" t="inlineStr">
        <x:is>
          <x:t xml:space="preserve">Processed</x:t>
        </x:is>
      </x:c>
    </x:row>
    <x:row r="70">
      <x:c r="A70" s="5" t="inlineStr">
        <x:is>
          <x:t xml:space="preserve">EMP85341</x:t>
        </x:is>
      </x:c>
      <x:c r="B70" s="6" t="inlineStr">
        <x:is>
          <x:t xml:space="preserve">Lucas Shah</x:t>
        </x:is>
      </x:c>
      <x:c r="C70" s="6" t="inlineStr">
        <x:is>
          <x:t xml:space="preserve">Talent Ops</x:t>
        </x:is>
      </x:c>
      <x:c r="D70" s="5" t="inlineStr">
        <x:is>
          <x:t xml:space="preserve">Hyderabad</x:t>
        </x:is>
      </x:c>
      <x:c r="E70" s="36" t="n">
        <x:v>45413</x:v>
      </x:c>
      <x:c r="F70" s="38" t="n">
        <x:v>59088</x:v>
      </x:c>
      <x:c r="G70" s="38" t="n">
        <x:v>26590</x:v>
      </x:c>
      <x:c r="H70" s="38" t="n">
        <x:v>1500</x:v>
      </x:c>
      <x:c r="I70" s="38" t="n">
        <x:v>5967</x:v>
      </x:c>
      <x:c r="J70" s="39">
        <x:f>F70+G70+H70-I70</x:f>
        <x:v>81211</x:v>
      </x:c>
      <x:c r="K70" s="12" t="inlineStr">
        <x:is>
          <x:t xml:space="preserve">Pending Verification</x:t>
        </x:is>
      </x:c>
      <x:c r="L70" s="12" t="inlineStr">
        <x:is>
          <x:t xml:space="preserve">Pending</x:t>
        </x:is>
      </x:c>
      <x:c r="M70" s="12" t="n">
        <x:v>31</x:v>
      </x:c>
      <x:c r="N70" s="12" t="n">
        <x:v>0</x:v>
      </x:c>
      <x:c r="O70" s="12" t="inlineStr">
        <x:is>
          <x:t xml:space="preserve">Processed</x:t>
        </x:is>
      </x:c>
    </x:row>
    <x:row r="71">
      <x:c r="A71" s="5" t="inlineStr">
        <x:is>
          <x:t xml:space="preserve">EMP40162</x:t>
        </x:is>
      </x:c>
      <x:c r="B71" s="6" t="inlineStr">
        <x:is>
          <x:t xml:space="preserve">Oliver Iyer</x:t>
        </x:is>
      </x:c>
      <x:c r="C71" s="6" t="inlineStr">
        <x:is>
          <x:t xml:space="preserve">Benefits Team</x:t>
        </x:is>
      </x:c>
      <x:c r="D71" s="5" t="inlineStr">
        <x:is>
          <x:t xml:space="preserve">Chennai</x:t>
        </x:is>
      </x:c>
      <x:c r="E71" s="36" t="n">
        <x:v>44869</x:v>
      </x:c>
      <x:c r="F71" s="38" t="n">
        <x:v>63121</x:v>
      </x:c>
      <x:c r="G71" s="38" t="n">
        <x:v>28404</x:v>
      </x:c>
      <x:c r="H71" s="38" t="n">
        <x:v>1500</x:v>
      </x:c>
      <x:c r="I71" s="38" t="n">
        <x:v>3530</x:v>
      </x:c>
      <x:c r="J71" s="39">
        <x:f>F71+G71+H71-I71</x:f>
        <x:v>89495</x:v>
      </x:c>
      <x:c r="K71" s="12" t="inlineStr">
        <x:is>
          <x:t xml:space="preserve">Active</x:t>
        </x:is>
      </x:c>
      <x:c r="L71" s="12" t="inlineStr">
        <x:is>
          <x:t xml:space="preserve">Verified</x:t>
        </x:is>
      </x:c>
      <x:c r="M71" s="12" t="n">
        <x:v>27</x:v>
      </x:c>
      <x:c r="N71" s="12" t="n">
        <x:v>2</x:v>
      </x:c>
      <x:c r="O71" s="12" t="inlineStr">
        <x:is>
          <x:t xml:space="preserve">Processed</x:t>
        </x:is>
      </x:c>
    </x:row>
    <x:row r="72">
      <x:c r="A72" s="5" t="inlineStr">
        <x:is>
          <x:t xml:space="preserve">EMP21813</x:t>
        </x:is>
      </x:c>
      <x:c r="B72" s="6" t="inlineStr">
        <x:is>
          <x:t xml:space="preserve">Lucas Khan</x:t>
        </x:is>
      </x:c>
      <x:c r="C72" s="6" t="inlineStr">
        <x:is>
          <x:t xml:space="preserve">Risk Advisory</x:t>
        </x:is>
      </x:c>
      <x:c r="D72" s="5" t="inlineStr">
        <x:is>
          <x:t xml:space="preserve">Mumbai</x:t>
        </x:is>
      </x:c>
      <x:c r="E72" s="36" t="n">
        <x:v>44646</x:v>
      </x:c>
      <x:c r="F72" s="38" t="n">
        <x:v>57350</x:v>
      </x:c>
      <x:c r="G72" s="38" t="n">
        <x:v>22940</x:v>
      </x:c>
      <x:c r="H72" s="38" t="n">
        <x:v>6000</x:v>
      </x:c>
      <x:c r="I72" s="38" t="n">
        <x:v>7803</x:v>
      </x:c>
      <x:c r="J72" s="39">
        <x:f>F72+G72+H72-I72</x:f>
        <x:v>78487</x:v>
      </x:c>
      <x:c r="K72" s="12" t="inlineStr">
        <x:is>
          <x:t xml:space="preserve">Verified</x:t>
        </x:is>
      </x:c>
      <x:c r="L72" s="12" t="inlineStr">
        <x:is>
          <x:t xml:space="preserve">Pending</x:t>
        </x:is>
      </x:c>
      <x:c r="M72" s="12" t="n">
        <x:v>31</x:v>
      </x:c>
      <x:c r="N72" s="12" t="n">
        <x:v>0</x:v>
      </x:c>
      <x:c r="O72" s="12" t="inlineStr">
        <x:is>
          <x:t xml:space="preserve">Hold</x:t>
        </x:is>
      </x:c>
    </x:row>
    <x:row r="73">
      <x:c r="A73" s="5" t="inlineStr">
        <x:is>
          <x:t xml:space="preserve">EMP48684</x:t>
        </x:is>
      </x:c>
      <x:c r="B73" s="6" t="inlineStr">
        <x:is>
          <x:t xml:space="preserve">Ravi Verma</x:t>
        </x:is>
      </x:c>
      <x:c r="C73" s="6" t="inlineStr">
        <x:is>
          <x:t xml:space="preserve">HR Shared Services</x:t>
        </x:is>
      </x:c>
      <x:c r="D73" s="5" t="inlineStr">
        <x:is>
          <x:t xml:space="preserve">Kolkata</x:t>
        </x:is>
      </x:c>
      <x:c r="E73" s="36" t="n">
        <x:v>44280</x:v>
      </x:c>
      <x:c r="F73" s="38" t="n">
        <x:v>36785</x:v>
      </x:c>
      <x:c r="G73" s="38" t="n">
        <x:v>16553</x:v>
      </x:c>
      <x:c r="H73" s="38" t="n">
        <x:v>9000</x:v>
      </x:c>
      <x:c r="I73" s="38" t="n">
        <x:v>7928</x:v>
      </x:c>
      <x:c r="J73" s="39">
        <x:f>F73+G73+H73-I73</x:f>
        <x:v>54410</x:v>
      </x:c>
      <x:c r="K73" s="12" t="inlineStr">
        <x:is>
          <x:t xml:space="preserve">Pending Verification</x:t>
        </x:is>
      </x:c>
      <x:c r="L73" s="12" t="inlineStr">
        <x:is>
          <x:t xml:space="preserve">Pending</x:t>
        </x:is>
      </x:c>
      <x:c r="M73" s="12" t="n">
        <x:v>19</x:v>
      </x:c>
      <x:c r="N73" s="12" t="n">
        <x:v>6</x:v>
      </x:c>
      <x:c r="O73" s="12" t="inlineStr">
        <x:is>
          <x:t xml:space="preserve">Processed</x:t>
        </x:is>
      </x:c>
    </x:row>
    <x:row r="74">
      <x:c r="A74" s="5" t="inlineStr">
        <x:is>
          <x:t xml:space="preserve">EMP80329</x:t>
        </x:is>
      </x:c>
      <x:c r="B74" s="6" t="inlineStr">
        <x:is>
          <x:t xml:space="preserve">Deepika Mehta</x:t>
        </x:is>
      </x:c>
      <x:c r="C74" s="6" t="inlineStr">
        <x:is>
          <x:t xml:space="preserve">IT Support</x:t>
        </x:is>
      </x:c>
      <x:c r="D74" s="5" t="inlineStr">
        <x:is>
          <x:t xml:space="preserve">Chennai</x:t>
        </x:is>
      </x:c>
      <x:c r="E74" s="36" t="n">
        <x:v>45608</x:v>
      </x:c>
      <x:c r="F74" s="38" t="n">
        <x:v>29100</x:v>
      </x:c>
      <x:c r="G74" s="38" t="n">
        <x:v>13095</x:v>
      </x:c>
      <x:c r="H74" s="38" t="n">
        <x:v>4500</x:v>
      </x:c>
      <x:c r="I74" s="38" t="n">
        <x:v>4862</x:v>
      </x:c>
      <x:c r="J74" s="39">
        <x:f>F74+G74+H74-I74</x:f>
        <x:v>41833</x:v>
      </x:c>
      <x:c r="K74" s="12" t="inlineStr">
        <x:is>
          <x:t xml:space="preserve">Verified</x:t>
        </x:is>
      </x:c>
      <x:c r="L74" s="12" t="inlineStr">
        <x:is>
          <x:t xml:space="preserve">Pending</x:t>
        </x:is>
      </x:c>
      <x:c r="M74" s="12" t="n">
        <x:v>27</x:v>
      </x:c>
      <x:c r="N74" s="12" t="n">
        <x:v>1</x:v>
      </x:c>
      <x:c r="O74" s="12" t="inlineStr">
        <x:is>
          <x:t xml:space="preserve">Processed</x:t>
        </x:is>
      </x:c>
    </x:row>
    <x:row r="75">
      <x:c r="A75" s="5" t="inlineStr">
        <x:is>
          <x:t xml:space="preserve">EMP93283</x:t>
        </x:is>
      </x:c>
      <x:c r="B75" s="6" t="inlineStr">
        <x:is>
          <x:t xml:space="preserve">Vikram White</x:t>
        </x:is>
      </x:c>
      <x:c r="C75" s="6" t="inlineStr">
        <x:is>
          <x:t xml:space="preserve">Talent Ops</x:t>
        </x:is>
      </x:c>
      <x:c r="D75" s="5" t="inlineStr">
        <x:is>
          <x:t xml:space="preserve">Noida</x:t>
        </x:is>
      </x:c>
      <x:c r="E75" s="36" t="n">
        <x:v>44257</x:v>
      </x:c>
      <x:c r="F75" s="38" t="n">
        <x:v>24438</x:v>
      </x:c>
      <x:c r="G75" s="38" t="n">
        <x:v>9775</x:v>
      </x:c>
      <x:c r="H75" s="38" t="n">
        <x:v>12000</x:v>
      </x:c>
      <x:c r="I75" s="38" t="n">
        <x:v>1951</x:v>
      </x:c>
      <x:c r="J75" s="39">
        <x:f>F75+G75+H75-I75</x:f>
        <x:v>44262</x:v>
      </x:c>
      <x:c r="K75" s="12" t="inlineStr">
        <x:is>
          <x:t xml:space="preserve">Verified</x:t>
        </x:is>
      </x:c>
      <x:c r="L75" s="12" t="inlineStr">
        <x:is>
          <x:t xml:space="preserve">Verified</x:t>
        </x:is>
      </x:c>
      <x:c r="M75" s="12" t="n">
        <x:v>26</x:v>
      </x:c>
      <x:c r="N75" s="12" t="n">
        <x:v>1</x:v>
      </x:c>
      <x:c r="O75" s="12" t="inlineStr">
        <x:is>
          <x:t xml:space="preserve">Processed</x:t>
        </x:is>
      </x:c>
    </x:row>
    <x:row r="76">
      <x:c r="A76" s="5" t="inlineStr">
        <x:is>
          <x:t xml:space="preserve">EMP58629</x:t>
        </x:is>
      </x:c>
      <x:c r="B76" s="6" t="inlineStr">
        <x:is>
          <x:t xml:space="preserve">Rohan Patel</x:t>
        </x:is>
      </x:c>
      <x:c r="C76" s="6" t="inlineStr">
        <x:is>
          <x:t xml:space="preserve">Finance Ops</x:t>
        </x:is>
      </x:c>
      <x:c r="D76" s="5" t="inlineStr">
        <x:is>
          <x:t xml:space="preserve">Noida</x:t>
        </x:is>
      </x:c>
      <x:c r="E76" s="36" t="n">
        <x:v>44428</x:v>
      </x:c>
      <x:c r="F76" s="38" t="n">
        <x:v>48746</x:v>
      </x:c>
      <x:c r="G76" s="38" t="n">
        <x:v>19498</x:v>
      </x:c>
      <x:c r="H76" s="38" t="n">
        <x:v>1500</x:v>
      </x:c>
      <x:c r="I76" s="38" t="n">
        <x:v>6654</x:v>
      </x:c>
      <x:c r="J76" s="39">
        <x:f>F76+G76+H76-I76</x:f>
        <x:v>63090</x:v>
      </x:c>
      <x:c r="K76" s="12" t="inlineStr">
        <x:is>
          <x:t xml:space="preserve">Active</x:t>
        </x:is>
      </x:c>
      <x:c r="L76" s="12" t="inlineStr">
        <x:is>
          <x:t xml:space="preserve">Verified</x:t>
        </x:is>
      </x:c>
      <x:c r="M76" s="12" t="n">
        <x:v>25</x:v>
      </x:c>
      <x:c r="N76" s="12" t="n">
        <x:v>3</x:v>
      </x:c>
      <x:c r="O76" s="12" t="inlineStr">
        <x:is>
          <x:t xml:space="preserve">Hold</x:t>
        </x:is>
      </x:c>
    </x:row>
    <x:row r="77">
      <x:c r="A77" s="5" t="inlineStr">
        <x:is>
          <x:t xml:space="preserve">EMP57537</x:t>
        </x:is>
      </x:c>
      <x:c r="B77" s="6" t="inlineStr">
        <x:is>
          <x:t xml:space="preserve">David Reddy</x:t>
        </x:is>
      </x:c>
      <x:c r="C77" s="6" t="inlineStr">
        <x:is>
          <x:t xml:space="preserve">IT Support</x:t>
        </x:is>
      </x:c>
      <x:c r="D77" s="5" t="inlineStr">
        <x:is>
          <x:t xml:space="preserve">Gurgaon</x:t>
        </x:is>
      </x:c>
      <x:c r="E77" s="36" t="n">
        <x:v>44386</x:v>
      </x:c>
      <x:c r="F77" s="38" t="n">
        <x:v>34439</x:v>
      </x:c>
      <x:c r="G77" s="38" t="n">
        <x:v>12054</x:v>
      </x:c>
      <x:c r="H77" s="38" t="n">
        <x:v>12000</x:v>
      </x:c>
      <x:c r="I77" s="38" t="n">
        <x:v>1750</x:v>
      </x:c>
      <x:c r="J77" s="39">
        <x:f>F77+G77+H77-I77</x:f>
        <x:v>56743</x:v>
      </x:c>
      <x:c r="K77" s="12" t="inlineStr">
        <x:is>
          <x:t xml:space="preserve">Pending Verification</x:t>
        </x:is>
      </x:c>
      <x:c r="L77" s="12" t="inlineStr">
        <x:is>
          <x:t xml:space="preserve">Verified</x:t>
        </x:is>
      </x:c>
      <x:c r="M77" s="12" t="n">
        <x:v>28</x:v>
      </x:c>
      <x:c r="N77" s="12" t="n">
        <x:v>0</x:v>
      </x:c>
      <x:c r="O77" s="12" t="inlineStr">
        <x:is>
          <x:t xml:space="preserve">Processed</x:t>
        </x:is>
      </x:c>
    </x:row>
    <x:row r="78">
      <x:c r="A78" s="5" t="inlineStr">
        <x:is>
          <x:t xml:space="preserve">EMP53713</x:t>
        </x:is>
      </x:c>
      <x:c r="B78" s="6" t="inlineStr">
        <x:is>
          <x:t xml:space="preserve">Kavya Desai</x:t>
        </x:is>
      </x:c>
      <x:c r="C78" s="6" t="inlineStr">
        <x:is>
          <x:t xml:space="preserve">Consulting Ops</x:t>
        </x:is>
      </x:c>
      <x:c r="D78" s="5" t="inlineStr">
        <x:is>
          <x:t xml:space="preserve">Pune</x:t>
        </x:is>
      </x:c>
      <x:c r="E78" s="36" t="n">
        <x:v>44446</x:v>
      </x:c>
      <x:c r="F78" s="38" t="n">
        <x:v>60429</x:v>
      </x:c>
      <x:c r="G78" s="38" t="n">
        <x:v>21150</x:v>
      </x:c>
      <x:c r="H78" s="38" t="n">
        <x:v>4500</x:v>
      </x:c>
      <x:c r="I78" s="38" t="n">
        <x:v>3691</x:v>
      </x:c>
      <x:c r="J78" s="39">
        <x:f>F78+G78+H78-I78</x:f>
        <x:v>82388</x:v>
      </x:c>
      <x:c r="K78" s="12" t="inlineStr">
        <x:is>
          <x:t xml:space="preserve">Verified</x:t>
        </x:is>
      </x:c>
      <x:c r="L78" s="12" t="inlineStr">
        <x:is>
          <x:t xml:space="preserve">Verified</x:t>
        </x:is>
      </x:c>
      <x:c r="M78" s="12" t="n">
        <x:v>22</x:v>
      </x:c>
      <x:c r="N78" s="12" t="n">
        <x:v>2</x:v>
      </x:c>
      <x:c r="O78" s="12" t="inlineStr">
        <x:is>
          <x:t xml:space="preserve">Hold</x:t>
        </x:is>
      </x:c>
    </x:row>
    <x:row r="79">
      <x:c r="A79" s="5" t="inlineStr">
        <x:is>
          <x:t xml:space="preserve">EMP80807</x:t>
        </x:is>
      </x:c>
      <x:c r="B79" s="6" t="inlineStr">
        <x:is>
          <x:t xml:space="preserve">Kiran Taylor</x:t>
        </x:is>
      </x:c>
      <x:c r="C79" s="6" t="inlineStr">
        <x:is>
          <x:t xml:space="preserve">Finance Ops</x:t>
        </x:is>
      </x:c>
      <x:c r="D79" s="5" t="inlineStr">
        <x:is>
          <x:t xml:space="preserve">Bengaluru</x:t>
        </x:is>
      </x:c>
      <x:c r="E79" s="36" t="n">
        <x:v>44256</x:v>
      </x:c>
      <x:c r="F79" s="38" t="n">
        <x:v>45477</x:v>
      </x:c>
      <x:c r="G79" s="38" t="n">
        <x:v>15917</x:v>
      </x:c>
      <x:c r="H79" s="38" t="n">
        <x:v>7500</x:v>
      </x:c>
      <x:c r="I79" s="38" t="n">
        <x:v>1129</x:v>
      </x:c>
      <x:c r="J79" s="39">
        <x:f>F79+G79+H79-I79</x:f>
        <x:v>67765</x:v>
      </x:c>
      <x:c r="K79" s="12" t="inlineStr">
        <x:is>
          <x:t xml:space="preserve">Verified</x:t>
        </x:is>
      </x:c>
      <x:c r="L79" s="12" t="inlineStr">
        <x:is>
          <x:t xml:space="preserve">Pending</x:t>
        </x:is>
      </x:c>
      <x:c r="M79" s="12" t="n">
        <x:v>18</x:v>
      </x:c>
      <x:c r="N79" s="12" t="n">
        <x:v>2</x:v>
      </x:c>
      <x:c r="O79" s="12" t="inlineStr">
        <x:is>
          <x:t xml:space="preserve">Processed</x:t>
        </x:is>
      </x:c>
    </x:row>
    <x:row r="80">
      <x:c r="A80" s="5" t="inlineStr">
        <x:is>
          <x:t xml:space="preserve">EMP78955</x:t>
        </x:is>
      </x:c>
      <x:c r="B80" s="6" t="inlineStr">
        <x:is>
          <x:t xml:space="preserve">Deepika Sharma</x:t>
        </x:is>
      </x:c>
      <x:c r="C80" s="6" t="inlineStr">
        <x:is>
          <x:t xml:space="preserve">HR Shared Services</x:t>
        </x:is>
      </x:c>
      <x:c r="D80" s="5" t="inlineStr">
        <x:is>
          <x:t xml:space="preserve">Kolkata</x:t>
        </x:is>
      </x:c>
      <x:c r="E80" s="36" t="n">
        <x:v>45460</x:v>
      </x:c>
      <x:c r="F80" s="38" t="n">
        <x:v>60906</x:v>
      </x:c>
      <x:c r="G80" s="38" t="n">
        <x:v>21317</x:v>
      </x:c>
      <x:c r="H80" s="38" t="n">
        <x:v>12000</x:v>
      </x:c>
      <x:c r="I80" s="38" t="n">
        <x:v>5127</x:v>
      </x:c>
      <x:c r="J80" s="39">
        <x:f>F80+G80+H80-I80</x:f>
        <x:v>89096</x:v>
      </x:c>
      <x:c r="K80" s="12" t="inlineStr">
        <x:is>
          <x:t xml:space="preserve">Verified</x:t>
        </x:is>
      </x:c>
      <x:c r="L80" s="12" t="inlineStr">
        <x:is>
          <x:t xml:space="preserve">Verified</x:t>
        </x:is>
      </x:c>
      <x:c r="M80" s="12" t="n">
        <x:v>29</x:v>
      </x:c>
      <x:c r="N80" s="12" t="n">
        <x:v>2</x:v>
      </x:c>
      <x:c r="O80" s="12" t="inlineStr">
        <x:is>
          <x:t xml:space="preserve">Processed</x:t>
        </x:is>
      </x:c>
    </x:row>
    <x:row r="81">
      <x:c r="A81" s="5" t="inlineStr">
        <x:is>
          <x:t xml:space="preserve">EMP70036</x:t>
        </x:is>
      </x:c>
      <x:c r="B81" s="6" t="inlineStr">
        <x:is>
          <x:t xml:space="preserve">Aisha Bose</x:t>
        </x:is>
      </x:c>
      <x:c r="C81" s="6" t="inlineStr">
        <x:is>
          <x:t xml:space="preserve">Audit Support</x:t>
        </x:is>
      </x:c>
      <x:c r="D81" s="5" t="inlineStr">
        <x:is>
          <x:t xml:space="preserve">Noida</x:t>
        </x:is>
      </x:c>
      <x:c r="E81" s="36" t="n">
        <x:v>45600</x:v>
      </x:c>
      <x:c r="F81" s="38" t="n">
        <x:v>54130</x:v>
      </x:c>
      <x:c r="G81" s="38" t="n">
        <x:v>24358</x:v>
      </x:c>
      <x:c r="H81" s="38" t="n">
        <x:v>12000</x:v>
      </x:c>
      <x:c r="I81" s="38" t="n">
        <x:v>1602</x:v>
      </x:c>
      <x:c r="J81" s="39">
        <x:f>F81+G81+H81-I81</x:f>
        <x:v>88886</x:v>
      </x:c>
      <x:c r="K81" s="12" t="inlineStr">
        <x:is>
          <x:t xml:space="preserve">Verified</x:t>
        </x:is>
      </x:c>
      <x:c r="L81" s="12" t="inlineStr">
        <x:is>
          <x:t xml:space="preserve">Pending</x:t>
        </x:is>
      </x:c>
      <x:c r="M81" s="12" t="n">
        <x:v>27</x:v>
      </x:c>
      <x:c r="N81" s="12" t="n">
        <x:v>1</x:v>
      </x:c>
      <x:c r="O81" s="12" t="inlineStr">
        <x:is>
          <x:t xml:space="preserve">Processed</x:t>
        </x:is>
      </x:c>
    </x:row>
    <x:row r="82">
      <x:c r="A82" s="5" t="inlineStr">
        <x:is>
          <x:t xml:space="preserve">EMP46046</x:t>
        </x:is>
      </x:c>
      <x:c r="B82" s="6" t="inlineStr">
        <x:is>
          <x:t xml:space="preserve">Mohammed Lee</x:t>
        </x:is>
      </x:c>
      <x:c r="C82" s="6" t="inlineStr">
        <x:is>
          <x:t xml:space="preserve">Consulting Ops</x:t>
        </x:is>
      </x:c>
      <x:c r="D82" s="5" t="inlineStr">
        <x:is>
          <x:t xml:space="preserve">Chennai</x:t>
        </x:is>
      </x:c>
      <x:c r="E82" s="36" t="n">
        <x:v>45555</x:v>
      </x:c>
      <x:c r="F82" s="38" t="n">
        <x:v>50193</x:v>
      </x:c>
      <x:c r="G82" s="38" t="n">
        <x:v>17568</x:v>
      </x:c>
      <x:c r="H82" s="38" t="n">
        <x:v>2500</x:v>
      </x:c>
      <x:c r="I82" s="38" t="n">
        <x:v>7986</x:v>
      </x:c>
      <x:c r="J82" s="39">
        <x:f>F82+G82+H82-I82</x:f>
        <x:v>62275</x:v>
      </x:c>
      <x:c r="K82" s="12" t="inlineStr">
        <x:is>
          <x:t xml:space="preserve">Pending Verification</x:t>
        </x:is>
      </x:c>
      <x:c r="L82" s="12" t="inlineStr">
        <x:is>
          <x:t xml:space="preserve">Verified</x:t>
        </x:is>
      </x:c>
      <x:c r="M82" s="12" t="n">
        <x:v>24</x:v>
      </x:c>
      <x:c r="N82" s="12" t="n">
        <x:v>7</x:v>
      </x:c>
      <x:c r="O82" s="12" t="inlineStr">
        <x:is>
          <x:t xml:space="preserve">Pending</x:t>
        </x:is>
      </x:c>
    </x:row>
    <x:row r="83">
      <x:c r="A83" s="5" t="inlineStr">
        <x:is>
          <x:t xml:space="preserve">EMP64239</x:t>
        </x:is>
      </x:c>
      <x:c r="B83" s="6" t="inlineStr">
        <x:is>
          <x:t xml:space="preserve">Noah Thomas</x:t>
        </x:is>
      </x:c>
      <x:c r="C83" s="6" t="inlineStr">
        <x:is>
          <x:t xml:space="preserve">Audit Support</x:t>
        </x:is>
      </x:c>
      <x:c r="D83" s="5" t="inlineStr">
        <x:is>
          <x:t xml:space="preserve">Noida</x:t>
        </x:is>
      </x:c>
      <x:c r="E83" s="36" t="n">
        <x:v>45630</x:v>
      </x:c>
      <x:c r="F83" s="38" t="n">
        <x:v>42483</x:v>
      </x:c>
      <x:c r="G83" s="38" t="n">
        <x:v>16993</x:v>
      </x:c>
      <x:c r="H83" s="38" t="n">
        <x:v>7500</x:v>
      </x:c>
      <x:c r="I83" s="38" t="n">
        <x:v>6448</x:v>
      </x:c>
      <x:c r="J83" s="39">
        <x:f>F83+G83+H83-I83</x:f>
        <x:v>60528</x:v>
      </x:c>
      <x:c r="K83" s="12" t="inlineStr">
        <x:is>
          <x:t xml:space="preserve">Active</x:t>
        </x:is>
      </x:c>
      <x:c r="L83" s="12" t="inlineStr">
        <x:is>
          <x:t xml:space="preserve">Pending</x:t>
        </x:is>
      </x:c>
      <x:c r="M83" s="12" t="n">
        <x:v>20</x:v>
      </x:c>
      <x:c r="N83" s="12" t="n">
        <x:v>7</x:v>
      </x:c>
      <x:c r="O83" s="12" t="inlineStr">
        <x:is>
          <x:t xml:space="preserve">Processed</x:t>
        </x:is>
      </x:c>
    </x:row>
    <x:row r="84">
      <x:c r="A84" s="5" t="inlineStr">
        <x:is>
          <x:t xml:space="preserve">EMP21188</x:t>
        </x:is>
      </x:c>
      <x:c r="B84" s="6" t="inlineStr">
        <x:is>
          <x:t xml:space="preserve">Arjun Martin</x:t>
        </x:is>
      </x:c>
      <x:c r="C84" s="6" t="inlineStr">
        <x:is>
          <x:t xml:space="preserve">HR Shared Services</x:t>
        </x:is>
      </x:c>
      <x:c r="D84" s="5" t="inlineStr">
        <x:is>
          <x:t xml:space="preserve">Gurgaon</x:t>
        </x:is>
      </x:c>
      <x:c r="E84" s="36" t="n">
        <x:v>44806</x:v>
      </x:c>
      <x:c r="F84" s="38" t="n">
        <x:v>60434</x:v>
      </x:c>
      <x:c r="G84" s="38" t="n">
        <x:v>27195</x:v>
      </x:c>
      <x:c r="H84" s="38" t="n">
        <x:v>7500</x:v>
      </x:c>
      <x:c r="I84" s="38" t="n">
        <x:v>6488</x:v>
      </x:c>
      <x:c r="J84" s="39">
        <x:f>F84+G84+H84-I84</x:f>
        <x:v>88641</x:v>
      </x:c>
      <x:c r="K84" s="12" t="inlineStr">
        <x:is>
          <x:t xml:space="preserve">Verified</x:t>
        </x:is>
      </x:c>
      <x:c r="L84" s="12" t="inlineStr">
        <x:is>
          <x:t xml:space="preserve">Pending</x:t>
        </x:is>
      </x:c>
      <x:c r="M84" s="12" t="n">
        <x:v>23</x:v>
      </x:c>
      <x:c r="N84" s="12" t="n">
        <x:v>6</x:v>
      </x:c>
      <x:c r="O84" s="12" t="inlineStr">
        <x:is>
          <x:t xml:space="preserve">Pending</x:t>
        </x:is>
      </x:c>
    </x:row>
    <x:row r="85">
      <x:c r="A85" s="5" t="inlineStr">
        <x:is>
          <x:t xml:space="preserve">EMP16743</x:t>
        </x:is>
      </x:c>
      <x:c r="B85" s="6" t="inlineStr">
        <x:is>
          <x:t xml:space="preserve">Lucas Pillai</x:t>
        </x:is>
      </x:c>
      <x:c r="C85" s="6" t="inlineStr">
        <x:is>
          <x:t xml:space="preserve">Talent Ops</x:t>
        </x:is>
      </x:c>
      <x:c r="D85" s="5" t="inlineStr">
        <x:is>
          <x:t xml:space="preserve">Gurgaon</x:t>
        </x:is>
      </x:c>
      <x:c r="E85" s="36" t="n">
        <x:v>44486</x:v>
      </x:c>
      <x:c r="F85" s="38" t="n">
        <x:v>35942</x:v>
      </x:c>
      <x:c r="G85" s="38" t="n">
        <x:v>12580</x:v>
      </x:c>
      <x:c r="H85" s="38" t="n">
        <x:v>12000</x:v>
      </x:c>
      <x:c r="I85" s="38" t="n">
        <x:v>2837</x:v>
      </x:c>
      <x:c r="J85" s="39">
        <x:f>F85+G85+H85-I85</x:f>
        <x:v>57685</x:v>
      </x:c>
      <x:c r="K85" s="12" t="inlineStr">
        <x:is>
          <x:t xml:space="preserve">Verified</x:t>
        </x:is>
      </x:c>
      <x:c r="L85" s="12" t="inlineStr">
        <x:is>
          <x:t xml:space="preserve">Pending</x:t>
        </x:is>
      </x:c>
      <x:c r="M85" s="12" t="n">
        <x:v>31</x:v>
      </x:c>
      <x:c r="N85" s="12" t="n">
        <x:v>0</x:v>
      </x:c>
      <x:c r="O85" s="12" t="inlineStr">
        <x:is>
          <x:t xml:space="preserve">Processed</x:t>
        </x:is>
      </x:c>
    </x:row>
    <x:row r="86">
      <x:c r="A86" s="5" t="inlineStr">
        <x:is>
          <x:t xml:space="preserve">EMP46512</x:t>
        </x:is>
      </x:c>
      <x:c r="B86" s="6" t="inlineStr">
        <x:is>
          <x:t xml:space="preserve">James Taylor</x:t>
        </x:is>
      </x:c>
      <x:c r="C86" s="6" t="inlineStr">
        <x:is>
          <x:t xml:space="preserve">Risk Advisory</x:t>
        </x:is>
      </x:c>
      <x:c r="D86" s="5" t="inlineStr">
        <x:is>
          <x:t xml:space="preserve">Hyderabad</x:t>
        </x:is>
      </x:c>
      <x:c r="E86" s="36" t="n">
        <x:v>44932</x:v>
      </x:c>
      <x:c r="F86" s="38" t="n">
        <x:v>39909</x:v>
      </x:c>
      <x:c r="G86" s="38" t="n">
        <x:v>17959</x:v>
      </x:c>
      <x:c r="H86" s="38" t="n">
        <x:v>6000</x:v>
      </x:c>
      <x:c r="I86" s="38" t="n">
        <x:v>3783</x:v>
      </x:c>
      <x:c r="J86" s="39">
        <x:f>F86+G86+H86-I86</x:f>
        <x:v>60085</x:v>
      </x:c>
      <x:c r="K86" s="12" t="inlineStr">
        <x:is>
          <x:t xml:space="preserve">Active</x:t>
        </x:is>
      </x:c>
      <x:c r="L86" s="12" t="inlineStr">
        <x:is>
          <x:t xml:space="preserve">Verified</x:t>
        </x:is>
      </x:c>
      <x:c r="M86" s="12" t="n">
        <x:v>20</x:v>
      </x:c>
      <x:c r="N86" s="12" t="n">
        <x:v>2</x:v>
      </x:c>
      <x:c r="O86" s="12" t="inlineStr">
        <x:is>
          <x:t xml:space="preserve">Processed</x:t>
        </x:is>
      </x:c>
    </x:row>
    <x:row r="87">
      <x:c r="A87" s="5" t="inlineStr">
        <x:is>
          <x:t xml:space="preserve">EMP62531</x:t>
        </x:is>
      </x:c>
      <x:c r="B87" s="6" t="inlineStr">
        <x:is>
          <x:t xml:space="preserve">Ananya Desai</x:t>
        </x:is>
      </x:c>
      <x:c r="C87" s="6" t="inlineStr">
        <x:is>
          <x:t xml:space="preserve">Payroll Ops</x:t>
        </x:is>
      </x:c>
      <x:c r="D87" s="5" t="inlineStr">
        <x:is>
          <x:t xml:space="preserve">Bengaluru</x:t>
        </x:is>
      </x:c>
      <x:c r="E87" s="36" t="n">
        <x:v>44756</x:v>
      </x:c>
      <x:c r="F87" s="38" t="n">
        <x:v>51730</x:v>
      </x:c>
      <x:c r="G87" s="38" t="n">
        <x:v>20692</x:v>
      </x:c>
      <x:c r="H87" s="38" t="n">
        <x:v>3000</x:v>
      </x:c>
      <x:c r="I87" s="38" t="n">
        <x:v>4031</x:v>
      </x:c>
      <x:c r="J87" s="39">
        <x:f>F87+G87+H87-I87</x:f>
        <x:v>71391</x:v>
      </x:c>
      <x:c r="K87" s="12" t="inlineStr">
        <x:is>
          <x:t xml:space="preserve">Active</x:t>
        </x:is>
      </x:c>
      <x:c r="L87" s="12" t="inlineStr">
        <x:is>
          <x:t xml:space="preserve">Pending</x:t>
        </x:is>
      </x:c>
      <x:c r="M87" s="12" t="n">
        <x:v>30</x:v>
      </x:c>
      <x:c r="N87" s="12" t="n">
        <x:v>0</x:v>
      </x:c>
      <x:c r="O87" s="12" t="inlineStr">
        <x:is>
          <x:t xml:space="preserve">Pending</x:t>
        </x:is>
      </x:c>
    </x:row>
    <x:row r="88">
      <x:c r="A88" s="5" t="inlineStr">
        <x:is>
          <x:t xml:space="preserve">EMP30392</x:t>
        </x:is>
      </x:c>
      <x:c r="B88" s="6" t="inlineStr">
        <x:is>
          <x:t xml:space="preserve">Ethan Singh</x:t>
        </x:is>
      </x:c>
      <x:c r="C88" s="6" t="inlineStr">
        <x:is>
          <x:t xml:space="preserve">Consulting Ops</x:t>
        </x:is>
      </x:c>
      <x:c r="D88" s="5" t="inlineStr">
        <x:is>
          <x:t xml:space="preserve">Hyderabad</x:t>
        </x:is>
      </x:c>
      <x:c r="E88" s="36" t="n">
        <x:v>44331</x:v>
      </x:c>
      <x:c r="F88" s="38" t="n">
        <x:v>65380</x:v>
      </x:c>
      <x:c r="G88" s="38" t="n">
        <x:v>26152</x:v>
      </x:c>
      <x:c r="H88" s="38" t="n">
        <x:v>12000</x:v>
      </x:c>
      <x:c r="I88" s="38" t="n">
        <x:v>5973</x:v>
      </x:c>
      <x:c r="J88" s="39">
        <x:f>F88+G88+H88-I88</x:f>
        <x:v>97559</x:v>
      </x:c>
      <x:c r="K88" s="12" t="inlineStr">
        <x:is>
          <x:t xml:space="preserve">Active</x:t>
        </x:is>
      </x:c>
      <x:c r="L88" s="12" t="inlineStr">
        <x:is>
          <x:t xml:space="preserve">Pending</x:t>
        </x:is>
      </x:c>
      <x:c r="M88" s="12" t="n">
        <x:v>22</x:v>
      </x:c>
      <x:c r="N88" s="12" t="n">
        <x:v>3</x:v>
      </x:c>
      <x:c r="O88" s="12" t="inlineStr">
        <x:is>
          <x:t xml:space="preserve">Pending</x:t>
        </x:is>
      </x:c>
    </x:row>
    <x:row r="89">
      <x:c r="A89" s="5" t="inlineStr">
        <x:is>
          <x:t xml:space="preserve">EMP24918</x:t>
        </x:is>
      </x:c>
      <x:c r="B89" s="6" t="inlineStr">
        <x:is>
          <x:t xml:space="preserve">Oliver Martin</x:t>
        </x:is>
      </x:c>
      <x:c r="C89" s="6" t="inlineStr">
        <x:is>
          <x:t xml:space="preserve">HR Shared Services</x:t>
        </x:is>
      </x:c>
      <x:c r="D89" s="5" t="inlineStr">
        <x:is>
          <x:t xml:space="preserve">Chennai</x:t>
        </x:is>
      </x:c>
      <x:c r="E89" s="36" t="n">
        <x:v>45557</x:v>
      </x:c>
      <x:c r="F89" s="38" t="n">
        <x:v>42212</x:v>
      </x:c>
      <x:c r="G89" s="38" t="n">
        <x:v>14774</x:v>
      </x:c>
      <x:c r="H89" s="38" t="n">
        <x:v>4500</x:v>
      </x:c>
      <x:c r="I89" s="38" t="n">
        <x:v>4237</x:v>
      </x:c>
      <x:c r="J89" s="39">
        <x:f>F89+G89+H89-I89</x:f>
        <x:v>57249</x:v>
      </x:c>
      <x:c r="K89" s="12" t="inlineStr">
        <x:is>
          <x:t xml:space="preserve">Pending Verification</x:t>
        </x:is>
      </x:c>
      <x:c r="L89" s="12" t="inlineStr">
        <x:is>
          <x:t xml:space="preserve">Verified</x:t>
        </x:is>
      </x:c>
      <x:c r="M89" s="12" t="n">
        <x:v>18</x:v>
      </x:c>
      <x:c r="N89" s="12" t="n">
        <x:v>3</x:v>
      </x:c>
      <x:c r="O89" s="12" t="inlineStr">
        <x:is>
          <x:t xml:space="preserve">Processed</x:t>
        </x:is>
      </x:c>
    </x:row>
    <x:row r="90">
      <x:c r="A90" s="5" t="inlineStr">
        <x:is>
          <x:t xml:space="preserve">EMP37686</x:t>
        </x:is>
      </x:c>
      <x:c r="B90" s="6" t="inlineStr">
        <x:is>
          <x:t xml:space="preserve">Divya Singh</x:t>
        </x:is>
      </x:c>
      <x:c r="C90" s="6" t="inlineStr">
        <x:is>
          <x:t xml:space="preserve">Talent Ops</x:t>
        </x:is>
      </x:c>
      <x:c r="D90" s="5" t="inlineStr">
        <x:is>
          <x:t xml:space="preserve">Chennai</x:t>
        </x:is>
      </x:c>
      <x:c r="E90" s="36" t="n">
        <x:v>44958</x:v>
      </x:c>
      <x:c r="F90" s="38" t="n">
        <x:v>54596</x:v>
      </x:c>
      <x:c r="G90" s="38" t="n">
        <x:v>24568</x:v>
      </x:c>
      <x:c r="H90" s="38" t="n">
        <x:v>9000</x:v>
      </x:c>
      <x:c r="I90" s="38" t="n">
        <x:v>2439</x:v>
      </x:c>
      <x:c r="J90" s="39">
        <x:f>F90+G90+H90-I90</x:f>
        <x:v>85725</x:v>
      </x:c>
      <x:c r="K90" s="12" t="inlineStr">
        <x:is>
          <x:t xml:space="preserve">Verified</x:t>
        </x:is>
      </x:c>
      <x:c r="L90" s="12" t="inlineStr">
        <x:is>
          <x:t xml:space="preserve">Pending</x:t>
        </x:is>
      </x:c>
      <x:c r="M90" s="12" t="n">
        <x:v>26</x:v>
      </x:c>
      <x:c r="N90" s="12" t="n">
        <x:v>5</x:v>
      </x:c>
      <x:c r="O90" s="12" t="inlineStr">
        <x:is>
          <x:t xml:space="preserve">Processed</x:t>
        </x:is>
      </x:c>
    </x:row>
    <x:row r="91">
      <x:c r="A91" s="5" t="inlineStr">
        <x:is>
          <x:t xml:space="preserve">EMP83233</x:t>
        </x:is>
      </x:c>
      <x:c r="B91" s="6" t="inlineStr">
        <x:is>
          <x:t xml:space="preserve">Oliver Brown</x:t>
        </x:is>
      </x:c>
      <x:c r="C91" s="6" t="inlineStr">
        <x:is>
          <x:t xml:space="preserve">Risk Advisory</x:t>
        </x:is>
      </x:c>
      <x:c r="D91" s="5" t="inlineStr">
        <x:is>
          <x:t xml:space="preserve">Hyderabad</x:t>
        </x:is>
      </x:c>
      <x:c r="E91" s="36" t="n">
        <x:v>45306</x:v>
      </x:c>
      <x:c r="F91" s="38" t="n">
        <x:v>27102</x:v>
      </x:c>
      <x:c r="G91" s="38" t="n">
        <x:v>10841</x:v>
      </x:c>
      <x:c r="H91" s="38" t="n">
        <x:v>9000</x:v>
      </x:c>
      <x:c r="I91" s="38" t="n">
        <x:v>5697</x:v>
      </x:c>
      <x:c r="J91" s="39">
        <x:f>F91+G91+H91-I91</x:f>
        <x:v>41246</x:v>
      </x:c>
      <x:c r="K91" s="12" t="inlineStr">
        <x:is>
          <x:t xml:space="preserve">Active</x:t>
        </x:is>
      </x:c>
      <x:c r="L91" s="12" t="inlineStr">
        <x:is>
          <x:t xml:space="preserve">Pending</x:t>
        </x:is>
      </x:c>
      <x:c r="M91" s="12" t="n">
        <x:v>22</x:v>
      </x:c>
      <x:c r="N91" s="12" t="n">
        <x:v>1</x:v>
      </x:c>
      <x:c r="O91" s="12" t="inlineStr">
        <x:is>
          <x:t xml:space="preserve">Processed</x:t>
        </x:is>
      </x:c>
    </x:row>
    <x:row r="92">
      <x:c r="A92" s="5" t="inlineStr">
        <x:is>
          <x:t xml:space="preserve">EMP52568</x:t>
        </x:is>
      </x:c>
      <x:c r="B92" s="6" t="inlineStr">
        <x:is>
          <x:t xml:space="preserve">Ethan Taylor</x:t>
        </x:is>
      </x:c>
      <x:c r="C92" s="6" t="inlineStr">
        <x:is>
          <x:t xml:space="preserve">Consulting Ops</x:t>
        </x:is>
      </x:c>
      <x:c r="D92" s="5" t="inlineStr">
        <x:is>
          <x:t xml:space="preserve">Kolkata</x:t>
        </x:is>
      </x:c>
      <x:c r="E92" s="36" t="n">
        <x:v>44971</x:v>
      </x:c>
      <x:c r="F92" s="38" t="n">
        <x:v>77344</x:v>
      </x:c>
      <x:c r="G92" s="38" t="n">
        <x:v>27070</x:v>
      </x:c>
      <x:c r="H92" s="38" t="n">
        <x:v>4500</x:v>
      </x:c>
      <x:c r="I92" s="38" t="n">
        <x:v>4569</x:v>
      </x:c>
      <x:c r="J92" s="39">
        <x:f>F92+G92+H92-I92</x:f>
        <x:v>104345</x:v>
      </x:c>
      <x:c r="K92" s="12" t="inlineStr">
        <x:is>
          <x:t xml:space="preserve">Pending Verification</x:t>
        </x:is>
      </x:c>
      <x:c r="L92" s="12" t="inlineStr">
        <x:is>
          <x:t xml:space="preserve">Pending</x:t>
        </x:is>
      </x:c>
      <x:c r="M92" s="12" t="n">
        <x:v>26</x:v>
      </x:c>
      <x:c r="N92" s="12" t="n">
        <x:v>0</x:v>
      </x:c>
      <x:c r="O92" s="12" t="inlineStr">
        <x:is>
          <x:t xml:space="preserve">Processed</x:t>
        </x:is>
      </x:c>
    </x:row>
    <x:row r="93">
      <x:c r="A93" s="5" t="inlineStr">
        <x:is>
          <x:t xml:space="preserve">EMP50668</x:t>
        </x:is>
      </x:c>
      <x:c r="B93" s="6" t="inlineStr">
        <x:is>
          <x:t xml:space="preserve">Noah Iyer</x:t>
        </x:is>
      </x:c>
      <x:c r="C93" s="6" t="inlineStr">
        <x:is>
          <x:t xml:space="preserve">IT Support</x:t>
        </x:is>
      </x:c>
      <x:c r="D93" s="5" t="inlineStr">
        <x:is>
          <x:t xml:space="preserve">Mumbai</x:t>
        </x:is>
      </x:c>
      <x:c r="E93" s="36" t="n">
        <x:v>44460</x:v>
      </x:c>
      <x:c r="F93" s="38" t="n">
        <x:v>29472</x:v>
      </x:c>
      <x:c r="G93" s="38" t="n">
        <x:v>13262</x:v>
      </x:c>
      <x:c r="H93" s="38" t="n">
        <x:v>4500</x:v>
      </x:c>
      <x:c r="I93" s="38" t="n">
        <x:v>7358</x:v>
      </x:c>
      <x:c r="J93" s="39">
        <x:f>F93+G93+H93-I93</x:f>
        <x:v>39876</x:v>
      </x:c>
      <x:c r="K93" s="12" t="inlineStr">
        <x:is>
          <x:t xml:space="preserve">Active</x:t>
        </x:is>
      </x:c>
      <x:c r="L93" s="12" t="inlineStr">
        <x:is>
          <x:t xml:space="preserve">Pending</x:t>
        </x:is>
      </x:c>
      <x:c r="M93" s="12" t="n">
        <x:v>29</x:v>
      </x:c>
      <x:c r="N93" s="12" t="n">
        <x:v>2</x:v>
      </x:c>
      <x:c r="O93" s="12" t="inlineStr">
        <x:is>
          <x:t xml:space="preserve">Pending</x:t>
        </x:is>
      </x:c>
    </x:row>
    <x:row r="94">
      <x:c r="A94" s="5" t="inlineStr">
        <x:is>
          <x:t xml:space="preserve">EMP40968</x:t>
        </x:is>
      </x:c>
      <x:c r="B94" s="6" t="inlineStr">
        <x:is>
          <x:t xml:space="preserve">David Desai</x:t>
        </x:is>
      </x:c>
      <x:c r="C94" s="6" t="inlineStr">
        <x:is>
          <x:t xml:space="preserve">Talent Ops</x:t>
        </x:is>
      </x:c>
      <x:c r="D94" s="5" t="inlineStr">
        <x:is>
          <x:t xml:space="preserve">Pune</x:t>
        </x:is>
      </x:c>
      <x:c r="E94" s="36" t="n">
        <x:v>44839</x:v>
      </x:c>
      <x:c r="F94" s="38" t="n">
        <x:v>71821</x:v>
      </x:c>
      <x:c r="G94" s="38" t="n">
        <x:v>32319</x:v>
      </x:c>
      <x:c r="H94" s="38" t="n">
        <x:v>2500</x:v>
      </x:c>
      <x:c r="I94" s="38" t="n">
        <x:v>2451</x:v>
      </x:c>
      <x:c r="J94" s="39">
        <x:f>F94+G94+H94-I94</x:f>
        <x:v>104189</x:v>
      </x:c>
      <x:c r="K94" s="12" t="inlineStr">
        <x:is>
          <x:t xml:space="preserve">Pending Verification</x:t>
        </x:is>
      </x:c>
      <x:c r="L94" s="12" t="inlineStr">
        <x:is>
          <x:t xml:space="preserve">Pending</x:t>
        </x:is>
      </x:c>
      <x:c r="M94" s="12" t="n">
        <x:v>25</x:v>
      </x:c>
      <x:c r="N94" s="12" t="n">
        <x:v>6</x:v>
      </x:c>
      <x:c r="O94" s="12" t="inlineStr">
        <x:is>
          <x:t xml:space="preserve">Processed</x:t>
        </x:is>
      </x:c>
    </x:row>
    <x:row r="95">
      <x:c r="A95" s="5" t="inlineStr">
        <x:is>
          <x:t xml:space="preserve">EMP85952</x:t>
        </x:is>
      </x:c>
      <x:c r="B95" s="6" t="inlineStr">
        <x:is>
          <x:t xml:space="preserve">Sophie Reddy</x:t>
        </x:is>
      </x:c>
      <x:c r="C95" s="6" t="inlineStr">
        <x:is>
          <x:t xml:space="preserve">Consulting Ops</x:t>
        </x:is>
      </x:c>
      <x:c r="D95" s="5" t="inlineStr">
        <x:is>
          <x:t xml:space="preserve">Gurgaon</x:t>
        </x:is>
      </x:c>
      <x:c r="E95" s="36" t="n">
        <x:v>45000</x:v>
      </x:c>
      <x:c r="F95" s="38" t="n">
        <x:v>26475</x:v>
      </x:c>
      <x:c r="G95" s="38" t="n">
        <x:v>10590</x:v>
      </x:c>
      <x:c r="H95" s="38" t="n">
        <x:v>12000</x:v>
      </x:c>
      <x:c r="I95" s="38" t="n">
        <x:v>6172</x:v>
      </x:c>
      <x:c r="J95" s="39">
        <x:f>F95+G95+H95-I95</x:f>
        <x:v>42893</x:v>
      </x:c>
      <x:c r="K95" s="12" t="inlineStr">
        <x:is>
          <x:t xml:space="preserve">Active</x:t>
        </x:is>
      </x:c>
      <x:c r="L95" s="12" t="inlineStr">
        <x:is>
          <x:t xml:space="preserve">Pending</x:t>
        </x:is>
      </x:c>
      <x:c r="M95" s="12" t="n">
        <x:v>27</x:v>
      </x:c>
      <x:c r="N95" s="12" t="n">
        <x:v>0</x:v>
      </x:c>
      <x:c r="O95" s="12" t="inlineStr">
        <x:is>
          <x:t xml:space="preserve">Processed</x:t>
        </x:is>
      </x:c>
    </x:row>
    <x:row r="96">
      <x:c r="A96" s="5" t="inlineStr">
        <x:is>
          <x:t xml:space="preserve">EMP19724</x:t>
        </x:is>
      </x:c>
      <x:c r="B96" s="6" t="inlineStr">
        <x:is>
          <x:t xml:space="preserve">Meera Mehta</x:t>
        </x:is>
      </x:c>
      <x:c r="C96" s="6" t="inlineStr">
        <x:is>
          <x:t xml:space="preserve">Audit Support</x:t>
        </x:is>
      </x:c>
      <x:c r="D96" s="5" t="inlineStr">
        <x:is>
          <x:t xml:space="preserve">Hyderabad</x:t>
        </x:is>
      </x:c>
      <x:c r="E96" s="36" t="n">
        <x:v>44374</x:v>
      </x:c>
      <x:c r="F96" s="38" t="n">
        <x:v>40813</x:v>
      </x:c>
      <x:c r="G96" s="38" t="n">
        <x:v>14285</x:v>
      </x:c>
      <x:c r="H96" s="38" t="n">
        <x:v>2500</x:v>
      </x:c>
      <x:c r="I96" s="38" t="n">
        <x:v>6038</x:v>
      </x:c>
      <x:c r="J96" s="39">
        <x:f>F96+G96+H96-I96</x:f>
        <x:v>51560</x:v>
      </x:c>
      <x:c r="K96" s="12" t="inlineStr">
        <x:is>
          <x:t xml:space="preserve">Pending Verification</x:t>
        </x:is>
      </x:c>
      <x:c r="L96" s="12" t="inlineStr">
        <x:is>
          <x:t xml:space="preserve">Pending</x:t>
        </x:is>
      </x:c>
      <x:c r="M96" s="12" t="n">
        <x:v>25</x:v>
      </x:c>
      <x:c r="N96" s="12" t="n">
        <x:v>4</x:v>
      </x:c>
      <x:c r="O96" s="12" t="inlineStr">
        <x:is>
          <x:t xml:space="preserve">Processed</x:t>
        </x:is>
      </x:c>
    </x:row>
    <x:row r="97">
      <x:c r="A97" s="5" t="inlineStr">
        <x:is>
          <x:t xml:space="preserve">EMP15376</x:t>
        </x:is>
      </x:c>
      <x:c r="B97" s="6" t="inlineStr">
        <x:is>
          <x:t xml:space="preserve">Sophie White</x:t>
        </x:is>
      </x:c>
      <x:c r="C97" s="6" t="inlineStr">
        <x:is>
          <x:t xml:space="preserve">Consulting Ops</x:t>
        </x:is>
      </x:c>
      <x:c r="D97" s="5" t="inlineStr">
        <x:is>
          <x:t xml:space="preserve">Pune</x:t>
        </x:is>
      </x:c>
      <x:c r="E97" s="36" t="n">
        <x:v>45215</x:v>
      </x:c>
      <x:c r="F97" s="38" t="n">
        <x:v>54857</x:v>
      </x:c>
      <x:c r="G97" s="38" t="n">
        <x:v>19200</x:v>
      </x:c>
      <x:c r="H97" s="38" t="n">
        <x:v>1500</x:v>
      </x:c>
      <x:c r="I97" s="38" t="n">
        <x:v>4690</x:v>
      </x:c>
      <x:c r="J97" s="39">
        <x:f>F97+G97+H97-I97</x:f>
        <x:v>70867</x:v>
      </x:c>
      <x:c r="K97" s="12" t="inlineStr">
        <x:is>
          <x:t xml:space="preserve">Verified</x:t>
        </x:is>
      </x:c>
      <x:c r="L97" s="12" t="inlineStr">
        <x:is>
          <x:t xml:space="preserve">Pending</x:t>
        </x:is>
      </x:c>
      <x:c r="M97" s="12" t="n">
        <x:v>29</x:v>
      </x:c>
      <x:c r="N97" s="12" t="n">
        <x:v>0</x:v>
      </x:c>
      <x:c r="O97" s="12" t="inlineStr">
        <x:is>
          <x:t xml:space="preserve">Processed</x:t>
        </x:is>
      </x:c>
    </x:row>
    <x:row r="98">
      <x:c r="A98" s="5" t="inlineStr">
        <x:is>
          <x:t xml:space="preserve">EMP32617</x:t>
        </x:is>
      </x:c>
      <x:c r="B98" s="6" t="inlineStr">
        <x:is>
          <x:t xml:space="preserve">Akash Iyer</x:t>
        </x:is>
      </x:c>
      <x:c r="C98" s="6" t="inlineStr">
        <x:is>
          <x:t xml:space="preserve">Audit Support</x:t>
        </x:is>
      </x:c>
      <x:c r="D98" s="5" t="inlineStr">
        <x:is>
          <x:t xml:space="preserve">Kolkata</x:t>
        </x:is>
      </x:c>
      <x:c r="E98" s="36" t="n">
        <x:v>44724</x:v>
      </x:c>
      <x:c r="F98" s="38" t="n">
        <x:v>40539</x:v>
      </x:c>
      <x:c r="G98" s="38" t="n">
        <x:v>16216</x:v>
      </x:c>
      <x:c r="H98" s="38" t="n">
        <x:v>9000</x:v>
      </x:c>
      <x:c r="I98" s="38" t="n">
        <x:v>7344</x:v>
      </x:c>
      <x:c r="J98" s="39">
        <x:f>F98+G98+H98-I98</x:f>
        <x:v>58411</x:v>
      </x:c>
      <x:c r="K98" s="12" t="inlineStr">
        <x:is>
          <x:t xml:space="preserve">Active</x:t>
        </x:is>
      </x:c>
      <x:c r="L98" s="12" t="inlineStr">
        <x:is>
          <x:t xml:space="preserve">Verified</x:t>
        </x:is>
      </x:c>
      <x:c r="M98" s="12" t="n">
        <x:v>30</x:v>
      </x:c>
      <x:c r="N98" s="12" t="n">
        <x:v>1</x:v>
      </x:c>
      <x:c r="O98" s="12" t="inlineStr">
        <x:is>
          <x:t xml:space="preserve">Processed</x:t>
        </x:is>
      </x:c>
    </x:row>
    <x:row r="99">
      <x:c r="A99" s="5" t="inlineStr">
        <x:is>
          <x:t xml:space="preserve">EMP22387</x:t>
        </x:is>
      </x:c>
      <x:c r="B99" s="6" t="inlineStr">
        <x:is>
          <x:t xml:space="preserve">Priya Johnson</x:t>
        </x:is>
      </x:c>
      <x:c r="C99" s="6" t="inlineStr">
        <x:is>
          <x:t xml:space="preserve">Talent Ops</x:t>
        </x:is>
      </x:c>
      <x:c r="D99" s="5" t="inlineStr">
        <x:is>
          <x:t xml:space="preserve">Mumbai</x:t>
        </x:is>
      </x:c>
      <x:c r="E99" s="36" t="n">
        <x:v>44976</x:v>
      </x:c>
      <x:c r="F99" s="38" t="n">
        <x:v>65490</x:v>
      </x:c>
      <x:c r="G99" s="38" t="n">
        <x:v>22922</x:v>
      </x:c>
      <x:c r="H99" s="38" t="n">
        <x:v>7500</x:v>
      </x:c>
      <x:c r="I99" s="38" t="n">
        <x:v>3541</x:v>
      </x:c>
      <x:c r="J99" s="39">
        <x:f>F99+G99+H99-I99</x:f>
        <x:v>92371</x:v>
      </x:c>
      <x:c r="K99" s="12" t="inlineStr">
        <x:is>
          <x:t xml:space="preserve">Pending Verification</x:t>
        </x:is>
      </x:c>
      <x:c r="L99" s="12" t="inlineStr">
        <x:is>
          <x:t xml:space="preserve">Pending</x:t>
        </x:is>
      </x:c>
      <x:c r="M99" s="12" t="n">
        <x:v>20</x:v>
      </x:c>
      <x:c r="N99" s="12" t="n">
        <x:v>1</x:v>
      </x:c>
      <x:c r="O99" s="12" t="inlineStr">
        <x:is>
          <x:t xml:space="preserve">Processed</x:t>
        </x:is>
      </x:c>
    </x:row>
    <x:row r="100">
      <x:c r="A100" s="5" t="inlineStr">
        <x:is>
          <x:t xml:space="preserve">EMP59372</x:t>
        </x:is>
      </x:c>
      <x:c r="B100" s="6" t="inlineStr">
        <x:is>
          <x:t xml:space="preserve">Noah Thomas</x:t>
        </x:is>
      </x:c>
      <x:c r="C100" s="6" t="inlineStr">
        <x:is>
          <x:t xml:space="preserve">Finance Ops</x:t>
        </x:is>
      </x:c>
      <x:c r="D100" s="5" t="inlineStr">
        <x:is>
          <x:t xml:space="preserve">Bengaluru</x:t>
        </x:is>
      </x:c>
      <x:c r="E100" s="36" t="n">
        <x:v>45547</x:v>
      </x:c>
      <x:c r="F100" s="38" t="n">
        <x:v>23194</x:v>
      </x:c>
      <x:c r="G100" s="38" t="n">
        <x:v>9278</x:v>
      </x:c>
      <x:c r="H100" s="38" t="n">
        <x:v>6000</x:v>
      </x:c>
      <x:c r="I100" s="38" t="n">
        <x:v>2476</x:v>
      </x:c>
      <x:c r="J100" s="39">
        <x:f>F100+G100+H100-I100</x:f>
        <x:v>35996</x:v>
      </x:c>
      <x:c r="K100" s="12" t="inlineStr">
        <x:is>
          <x:t xml:space="preserve">Verified</x:t>
        </x:is>
      </x:c>
      <x:c r="L100" s="12" t="inlineStr">
        <x:is>
          <x:t xml:space="preserve">Pending</x:t>
        </x:is>
      </x:c>
      <x:c r="M100" s="12" t="n">
        <x:v>30</x:v>
      </x:c>
      <x:c r="N100" s="12" t="n">
        <x:v>1</x:v>
      </x:c>
      <x:c r="O100" s="12" t="inlineStr">
        <x:is>
          <x:t xml:space="preserve">Processed</x:t>
        </x:is>
      </x:c>
    </x:row>
    <x:row r="101">
      <x:c r="A101" s="5" t="inlineStr">
        <x:is>
          <x:t xml:space="preserve">EMP28030</x:t>
        </x:is>
      </x:c>
      <x:c r="B101" s="6" t="inlineStr">
        <x:is>
          <x:t xml:space="preserve">Emma Brown</x:t>
        </x:is>
      </x:c>
      <x:c r="C101" s="6" t="inlineStr">
        <x:is>
          <x:t xml:space="preserve">Talent Ops</x:t>
        </x:is>
      </x:c>
      <x:c r="D101" s="5" t="inlineStr">
        <x:is>
          <x:t xml:space="preserve">Bengaluru</x:t>
        </x:is>
      </x:c>
      <x:c r="E101" s="36" t="n">
        <x:v>44511</x:v>
      </x:c>
      <x:c r="F101" s="38" t="n">
        <x:v>72220</x:v>
      </x:c>
      <x:c r="G101" s="38" t="n">
        <x:v>32499</x:v>
      </x:c>
      <x:c r="H101" s="38" t="n">
        <x:v>3000</x:v>
      </x:c>
      <x:c r="I101" s="38" t="n">
        <x:v>5892</x:v>
      </x:c>
      <x:c r="J101" s="39">
        <x:f>F101+G101+H101-I101</x:f>
        <x:v>101827</x:v>
      </x:c>
      <x:c r="K101" s="12" t="inlineStr">
        <x:is>
          <x:t xml:space="preserve">Active</x:t>
        </x:is>
      </x:c>
      <x:c r="L101" s="12" t="inlineStr">
        <x:is>
          <x:t xml:space="preserve">Verified</x:t>
        </x:is>
      </x:c>
      <x:c r="M101" s="12" t="n">
        <x:v>20</x:v>
      </x:c>
      <x:c r="N101" s="12" t="n">
        <x:v>2</x:v>
      </x:c>
      <x:c r="O101" s="12" t="inlineStr">
        <x:is>
          <x:t xml:space="preserve">Pending</x:t>
        </x:is>
      </x:c>
    </x:row>
    <x:row r="102">
      <x:c r="A102" s="5" t="inlineStr">
        <x:is>
          <x:t xml:space="preserve">EMP91885</x:t>
        </x:is>
      </x:c>
      <x:c r="B102" s="6" t="inlineStr">
        <x:is>
          <x:t xml:space="preserve">Ethan Sharma</x:t>
        </x:is>
      </x:c>
      <x:c r="C102" s="6" t="inlineStr">
        <x:is>
          <x:t xml:space="preserve">Audit Support</x:t>
        </x:is>
      </x:c>
      <x:c r="D102" s="5" t="inlineStr">
        <x:is>
          <x:t xml:space="preserve">Hyderabad</x:t>
        </x:is>
      </x:c>
      <x:c r="E102" s="36" t="n">
        <x:v>45465</x:v>
      </x:c>
      <x:c r="F102" s="38" t="n">
        <x:v>69158</x:v>
      </x:c>
      <x:c r="G102" s="38" t="n">
        <x:v>24205</x:v>
      </x:c>
      <x:c r="H102" s="38" t="n">
        <x:v>12000</x:v>
      </x:c>
      <x:c r="I102" s="38" t="n">
        <x:v>6001</x:v>
      </x:c>
      <x:c r="J102" s="39">
        <x:f>F102+G102+H102-I102</x:f>
        <x:v>99362</x:v>
      </x:c>
      <x:c r="K102" s="12" t="inlineStr">
        <x:is>
          <x:t xml:space="preserve">Active</x:t>
        </x:is>
      </x:c>
      <x:c r="L102" s="12" t="inlineStr">
        <x:is>
          <x:t xml:space="preserve">Pending</x:t>
        </x:is>
      </x:c>
      <x:c r="M102" s="12" t="n">
        <x:v>21</x:v>
      </x:c>
      <x:c r="N102" s="12" t="n">
        <x:v>8</x:v>
      </x:c>
      <x:c r="O102" s="12" t="inlineStr">
        <x:is>
          <x:t xml:space="preserve">Processed</x:t>
        </x:is>
      </x:c>
    </x:row>
    <x:row r="103">
      <x:c r="A103" s="5" t="inlineStr">
        <x:is>
          <x:t xml:space="preserve">EMP71474</x:t>
        </x:is>
      </x:c>
      <x:c r="B103" s="6" t="inlineStr">
        <x:is>
          <x:t xml:space="preserve">Henry Kumar</x:t>
        </x:is>
      </x:c>
      <x:c r="C103" s="6" t="inlineStr">
        <x:is>
          <x:t xml:space="preserve">Consulting Ops</x:t>
        </x:is>
      </x:c>
      <x:c r="D103" s="5" t="inlineStr">
        <x:is>
          <x:t xml:space="preserve">Kolkata</x:t>
        </x:is>
      </x:c>
      <x:c r="E103" s="36" t="n">
        <x:v>45437</x:v>
      </x:c>
      <x:c r="F103" s="38" t="n">
        <x:v>47026</x:v>
      </x:c>
      <x:c r="G103" s="38" t="n">
        <x:v>21162</x:v>
      </x:c>
      <x:c r="H103" s="38" t="n">
        <x:v>9000</x:v>
      </x:c>
      <x:c r="I103" s="38" t="n">
        <x:v>2327</x:v>
      </x:c>
      <x:c r="J103" s="39">
        <x:f>F103+G103+H103-I103</x:f>
        <x:v>74861</x:v>
      </x:c>
      <x:c r="K103" s="12" t="inlineStr">
        <x:is>
          <x:t xml:space="preserve">Verified</x:t>
        </x:is>
      </x:c>
      <x:c r="L103" s="12" t="inlineStr">
        <x:is>
          <x:t xml:space="preserve">Verified</x:t>
        </x:is>
      </x:c>
      <x:c r="M103" s="12" t="n">
        <x:v>31</x:v>
      </x:c>
      <x:c r="N103" s="12" t="n">
        <x:v>0</x:v>
      </x:c>
      <x:c r="O103" s="12" t="inlineStr">
        <x:is>
          <x:t xml:space="preserve">Processed</x:t>
        </x:is>
      </x:c>
    </x:row>
    <x:row r="104">
      <x:c r="A104" s="5" t="inlineStr">
        <x:is>
          <x:t xml:space="preserve">EMP72991</x:t>
        </x:is>
      </x:c>
      <x:c r="B104" s="6" t="inlineStr">
        <x:is>
          <x:t xml:space="preserve">Pooja Nair</x:t>
        </x:is>
      </x:c>
      <x:c r="C104" s="6" t="inlineStr">
        <x:is>
          <x:t xml:space="preserve">HR Shared Services</x:t>
        </x:is>
      </x:c>
      <x:c r="D104" s="5" t="inlineStr">
        <x:is>
          <x:t xml:space="preserve">Bengaluru</x:t>
        </x:is>
      </x:c>
      <x:c r="E104" s="36" t="n">
        <x:v>44982</x:v>
      </x:c>
      <x:c r="F104" s="38" t="n">
        <x:v>32506</x:v>
      </x:c>
      <x:c r="G104" s="38" t="n">
        <x:v>13002</x:v>
      </x:c>
      <x:c r="H104" s="38" t="n">
        <x:v>12000</x:v>
      </x:c>
      <x:c r="I104" s="38" t="n">
        <x:v>5205</x:v>
      </x:c>
      <x:c r="J104" s="39">
        <x:f>F104+G104+H104-I104</x:f>
        <x:v>52303</x:v>
      </x:c>
      <x:c r="K104" s="12" t="inlineStr">
        <x:is>
          <x:t xml:space="preserve">Verified</x:t>
        </x:is>
      </x:c>
      <x:c r="L104" s="12" t="inlineStr">
        <x:is>
          <x:t xml:space="preserve">Pending</x:t>
        </x:is>
      </x:c>
      <x:c r="M104" s="12" t="n">
        <x:v>19</x:v>
      </x:c>
      <x:c r="N104" s="12" t="n">
        <x:v>3</x:v>
      </x:c>
      <x:c r="O104" s="12" t="inlineStr">
        <x:is>
          <x:t xml:space="preserve">Pending</x:t>
        </x:is>
      </x:c>
    </x:row>
    <x:row r="105">
      <x:c r="A105" s="5" t="inlineStr">
        <x:is>
          <x:t xml:space="preserve">EMP55820</x:t>
        </x:is>
      </x:c>
      <x:c r="B105" s="6" t="inlineStr">
        <x:is>
          <x:t xml:space="preserve">Aisha Martin</x:t>
        </x:is>
      </x:c>
      <x:c r="C105" s="6" t="inlineStr">
        <x:is>
          <x:t xml:space="preserve">Payroll Ops</x:t>
        </x:is>
      </x:c>
      <x:c r="D105" s="5" t="inlineStr">
        <x:is>
          <x:t xml:space="preserve">Noida</x:t>
        </x:is>
      </x:c>
      <x:c r="E105" s="36" t="n">
        <x:v>45029</x:v>
      </x:c>
      <x:c r="F105" s="38" t="n">
        <x:v>27348</x:v>
      </x:c>
      <x:c r="G105" s="38" t="n">
        <x:v>10939</x:v>
      </x:c>
      <x:c r="H105" s="38" t="n">
        <x:v>4500</x:v>
      </x:c>
      <x:c r="I105" s="38" t="n">
        <x:v>1230</x:v>
      </x:c>
      <x:c r="J105" s="39">
        <x:f>F105+G105+H105-I105</x:f>
        <x:v>41557</x:v>
      </x:c>
      <x:c r="K105" s="12" t="inlineStr">
        <x:is>
          <x:t xml:space="preserve">Active</x:t>
        </x:is>
      </x:c>
      <x:c r="L105" s="12" t="inlineStr">
        <x:is>
          <x:t xml:space="preserve">Verified</x:t>
        </x:is>
      </x:c>
      <x:c r="M105" s="12" t="n">
        <x:v>31</x:v>
      </x:c>
      <x:c r="N105" s="12" t="n">
        <x:v>0</x:v>
      </x:c>
      <x:c r="O105" s="12" t="inlineStr">
        <x:is>
          <x:t xml:space="preserve">Pending</x:t>
        </x:is>
      </x:c>
    </x:row>
    <x:row r="106">
      <x:c r="A106" s="5" t="inlineStr">
        <x:is>
          <x:t xml:space="preserve">EMP28035</x:t>
        </x:is>
      </x:c>
      <x:c r="B106" s="6" t="inlineStr">
        <x:is>
          <x:t xml:space="preserve">Noah Shah</x:t>
        </x:is>
      </x:c>
      <x:c r="C106" s="6" t="inlineStr">
        <x:is>
          <x:t xml:space="preserve">Audit Support</x:t>
        </x:is>
      </x:c>
      <x:c r="D106" s="5" t="inlineStr">
        <x:is>
          <x:t xml:space="preserve">Mumbai</x:t>
        </x:is>
      </x:c>
      <x:c r="E106" s="36" t="n">
        <x:v>45524</x:v>
      </x:c>
      <x:c r="F106" s="38" t="n">
        <x:v>22344</x:v>
      </x:c>
      <x:c r="G106" s="38" t="n">
        <x:v>7820</x:v>
      </x:c>
      <x:c r="H106" s="38" t="n">
        <x:v>1500</x:v>
      </x:c>
      <x:c r="I106" s="38" t="n">
        <x:v>3096</x:v>
      </x:c>
      <x:c r="J106" s="39">
        <x:f>F106+G106+H106-I106</x:f>
        <x:v>28568</x:v>
      </x:c>
      <x:c r="K106" s="12" t="inlineStr">
        <x:is>
          <x:t xml:space="preserve">Verified</x:t>
        </x:is>
      </x:c>
      <x:c r="L106" s="12" t="inlineStr">
        <x:is>
          <x:t xml:space="preserve">Verified</x:t>
        </x:is>
      </x:c>
      <x:c r="M106" s="12" t="n">
        <x:v>26</x:v>
      </x:c>
      <x:c r="N106" s="12" t="n">
        <x:v>5</x:v>
      </x:c>
      <x:c r="O106" s="12" t="inlineStr">
        <x:is>
          <x:t xml:space="preserve">Processed</x:t>
        </x:is>
      </x:c>
    </x:row>
    <x:row r="107">
      <x:c r="A107" s="5" t="inlineStr">
        <x:is>
          <x:t xml:space="preserve">EMP65476</x:t>
        </x:is>
      </x:c>
      <x:c r="B107" s="6" t="inlineStr">
        <x:is>
          <x:t xml:space="preserve">Deepika Singh</x:t>
        </x:is>
      </x:c>
      <x:c r="C107" s="6" t="inlineStr">
        <x:is>
          <x:t xml:space="preserve">Talent Ops</x:t>
        </x:is>
      </x:c>
      <x:c r="D107" s="5" t="inlineStr">
        <x:is>
          <x:t xml:space="preserve">Pune</x:t>
        </x:is>
      </x:c>
      <x:c r="E107" s="36" t="n">
        <x:v>44959</x:v>
      </x:c>
      <x:c r="F107" s="38" t="n">
        <x:v>37626</x:v>
      </x:c>
      <x:c r="G107" s="38" t="n">
        <x:v>15050</x:v>
      </x:c>
      <x:c r="H107" s="38" t="n">
        <x:v>12000</x:v>
      </x:c>
      <x:c r="I107" s="38" t="n">
        <x:v>1514</x:v>
      </x:c>
      <x:c r="J107" s="39">
        <x:f>F107+G107+H107-I107</x:f>
        <x:v>63162</x:v>
      </x:c>
      <x:c r="K107" s="12" t="inlineStr">
        <x:is>
          <x:t xml:space="preserve">Verified</x:t>
        </x:is>
      </x:c>
      <x:c r="L107" s="12" t="inlineStr">
        <x:is>
          <x:t xml:space="preserve">Pending</x:t>
        </x:is>
      </x:c>
      <x:c r="M107" s="12" t="n">
        <x:v>27</x:v>
      </x:c>
      <x:c r="N107" s="12" t="n">
        <x:v>4</x:v>
      </x:c>
      <x:c r="O107" s="12" t="inlineStr">
        <x:is>
          <x:t xml:space="preserve">Processed</x:t>
        </x:is>
      </x:c>
    </x:row>
    <x:row r="108">
      <x:c r="A108" s="5" t="inlineStr">
        <x:is>
          <x:t xml:space="preserve">EMP41139</x:t>
        </x:is>
      </x:c>
      <x:c r="B108" s="6" t="inlineStr">
        <x:is>
          <x:t xml:space="preserve">Kavya Shah</x:t>
        </x:is>
      </x:c>
      <x:c r="C108" s="6" t="inlineStr">
        <x:is>
          <x:t xml:space="preserve">Finance Ops</x:t>
        </x:is>
      </x:c>
      <x:c r="D108" s="5" t="inlineStr">
        <x:is>
          <x:t xml:space="preserve">Chennai</x:t>
        </x:is>
      </x:c>
      <x:c r="E108" s="36" t="n">
        <x:v>45311</x:v>
      </x:c>
      <x:c r="F108" s="38" t="n">
        <x:v>45122</x:v>
      </x:c>
      <x:c r="G108" s="38" t="n">
        <x:v>15793</x:v>
      </x:c>
      <x:c r="H108" s="38" t="n">
        <x:v>9000</x:v>
      </x:c>
      <x:c r="I108" s="38" t="n">
        <x:v>2534</x:v>
      </x:c>
      <x:c r="J108" s="39">
        <x:f>F108+G108+H108-I108</x:f>
        <x:v>67381</x:v>
      </x:c>
      <x:c r="K108" s="12" t="inlineStr">
        <x:is>
          <x:t xml:space="preserve">Pending Verification</x:t>
        </x:is>
      </x:c>
      <x:c r="L108" s="12" t="inlineStr">
        <x:is>
          <x:t xml:space="preserve">Verified</x:t>
        </x:is>
      </x:c>
      <x:c r="M108" s="12" t="n">
        <x:v>26</x:v>
      </x:c>
      <x:c r="N108" s="12" t="n">
        <x:v>2</x:v>
      </x:c>
      <x:c r="O108" s="12" t="inlineStr">
        <x:is>
          <x:t xml:space="preserve">Processed</x:t>
        </x:is>
      </x:c>
    </x:row>
    <x:row r="109">
      <x:c r="A109" s="5" t="inlineStr">
        <x:is>
          <x:t xml:space="preserve">EMP78951</x:t>
        </x:is>
      </x:c>
      <x:c r="B109" s="6" t="inlineStr">
        <x:is>
          <x:t xml:space="preserve">Aisha Lee</x:t>
        </x:is>
      </x:c>
      <x:c r="C109" s="6" t="inlineStr">
        <x:is>
          <x:t xml:space="preserve">Audit Support</x:t>
        </x:is>
      </x:c>
      <x:c r="D109" s="5" t="inlineStr">
        <x:is>
          <x:t xml:space="preserve">Hyderabad</x:t>
        </x:is>
      </x:c>
      <x:c r="E109" s="36" t="n">
        <x:v>45452</x:v>
      </x:c>
      <x:c r="F109" s="38" t="n">
        <x:v>70976</x:v>
      </x:c>
      <x:c r="G109" s="38" t="n">
        <x:v>24842</x:v>
      </x:c>
      <x:c r="H109" s="38" t="n">
        <x:v>7500</x:v>
      </x:c>
      <x:c r="I109" s="38" t="n">
        <x:v>7459</x:v>
      </x:c>
      <x:c r="J109" s="39">
        <x:f>F109+G109+H109-I109</x:f>
        <x:v>95859</x:v>
      </x:c>
      <x:c r="K109" s="12" t="inlineStr">
        <x:is>
          <x:t xml:space="preserve">Verified</x:t>
        </x:is>
      </x:c>
      <x:c r="L109" s="12" t="inlineStr">
        <x:is>
          <x:t xml:space="preserve">Pending</x:t>
        </x:is>
      </x:c>
      <x:c r="M109" s="12" t="n">
        <x:v>21</x:v>
      </x:c>
      <x:c r="N109" s="12" t="n">
        <x:v>1</x:v>
      </x:c>
      <x:c r="O109" s="12" t="inlineStr">
        <x:is>
          <x:t xml:space="preserve">Pending</x:t>
        </x:is>
      </x:c>
    </x:row>
    <x:row r="110">
      <x:c r="A110" s="5" t="inlineStr">
        <x:is>
          <x:t xml:space="preserve">EMP53583</x:t>
        </x:is>
      </x:c>
      <x:c r="B110" s="6" t="inlineStr">
        <x:is>
          <x:t xml:space="preserve">Divya Bose</x:t>
        </x:is>
      </x:c>
      <x:c r="C110" s="6" t="inlineStr">
        <x:is>
          <x:t xml:space="preserve">IT Support</x:t>
        </x:is>
      </x:c>
      <x:c r="D110" s="5" t="inlineStr">
        <x:is>
          <x:t xml:space="preserve">Gurgaon</x:t>
        </x:is>
      </x:c>
      <x:c r="E110" s="36" t="n">
        <x:v>44880</x:v>
      </x:c>
      <x:c r="F110" s="38" t="n">
        <x:v>67573</x:v>
      </x:c>
      <x:c r="G110" s="38" t="n">
        <x:v>27029</x:v>
      </x:c>
      <x:c r="H110" s="38" t="n">
        <x:v>3000</x:v>
      </x:c>
      <x:c r="I110" s="38" t="n">
        <x:v>7647</x:v>
      </x:c>
      <x:c r="J110" s="39">
        <x:f>F110+G110+H110-I110</x:f>
        <x:v>89955</x:v>
      </x:c>
      <x:c r="K110" s="12" t="inlineStr">
        <x:is>
          <x:t xml:space="preserve">Verified</x:t>
        </x:is>
      </x:c>
      <x:c r="L110" s="12" t="inlineStr">
        <x:is>
          <x:t xml:space="preserve">Verified</x:t>
        </x:is>
      </x:c>
      <x:c r="M110" s="12" t="n">
        <x:v>29</x:v>
      </x:c>
      <x:c r="N110" s="12" t="n">
        <x:v>1</x:v>
      </x:c>
      <x:c r="O110" s="12" t="inlineStr">
        <x:is>
          <x:t xml:space="preserve">Processed</x:t>
        </x:is>
      </x:c>
    </x:row>
    <x:row r="111">
      <x:c r="A111" s="5" t="inlineStr">
        <x:is>
          <x:t xml:space="preserve">EMP36422</x:t>
        </x:is>
      </x:c>
      <x:c r="B111" s="6" t="inlineStr">
        <x:is>
          <x:t xml:space="preserve">Akash Taylor</x:t>
        </x:is>
      </x:c>
      <x:c r="C111" s="6" t="inlineStr">
        <x:is>
          <x:t xml:space="preserve">Benefits Team</x:t>
        </x:is>
      </x:c>
      <x:c r="D111" s="5" t="inlineStr">
        <x:is>
          <x:t xml:space="preserve">Hyderabad</x:t>
        </x:is>
      </x:c>
      <x:c r="E111" s="36" t="n">
        <x:v>45063</x:v>
      </x:c>
      <x:c r="F111" s="38" t="n">
        <x:v>48098</x:v>
      </x:c>
      <x:c r="G111" s="38" t="n">
        <x:v>21644</x:v>
      </x:c>
      <x:c r="H111" s="38" t="n">
        <x:v>12000</x:v>
      </x:c>
      <x:c r="I111" s="38" t="n">
        <x:v>3075</x:v>
      </x:c>
      <x:c r="J111" s="39">
        <x:f>F111+G111+H111-I111</x:f>
        <x:v>78667</x:v>
      </x:c>
      <x:c r="K111" s="12" t="inlineStr">
        <x:is>
          <x:t xml:space="preserve">Verified</x:t>
        </x:is>
      </x:c>
      <x:c r="L111" s="12" t="inlineStr">
        <x:is>
          <x:t xml:space="preserve">Verified</x:t>
        </x:is>
      </x:c>
      <x:c r="M111" s="12" t="n">
        <x:v>22</x:v>
      </x:c>
      <x:c r="N111" s="12" t="n">
        <x:v>5</x:v>
      </x:c>
      <x:c r="O111" s="12" t="inlineStr">
        <x:is>
          <x:t xml:space="preserve">Pending</x:t>
        </x:is>
      </x:c>
    </x:row>
    <x:row r="112">
      <x:c r="A112" s="5" t="inlineStr">
        <x:is>
          <x:t xml:space="preserve">EMP16265</x:t>
        </x:is>
      </x:c>
      <x:c r="B112" s="6" t="inlineStr">
        <x:is>
          <x:t xml:space="preserve">Noah Jackson</x:t>
        </x:is>
      </x:c>
      <x:c r="C112" s="6" t="inlineStr">
        <x:is>
          <x:t xml:space="preserve">HR Shared Services</x:t>
        </x:is>
      </x:c>
      <x:c r="D112" s="5" t="inlineStr">
        <x:is>
          <x:t xml:space="preserve">Gurgaon</x:t>
        </x:is>
      </x:c>
      <x:c r="E112" s="36" t="n">
        <x:v>45497</x:v>
      </x:c>
      <x:c r="F112" s="38" t="n">
        <x:v>50818</x:v>
      </x:c>
      <x:c r="G112" s="38" t="n">
        <x:v>20327</x:v>
      </x:c>
      <x:c r="H112" s="38" t="n">
        <x:v>7500</x:v>
      </x:c>
      <x:c r="I112" s="38" t="n">
        <x:v>2530</x:v>
      </x:c>
      <x:c r="J112" s="39">
        <x:f>F112+G112+H112-I112</x:f>
        <x:v>76115</x:v>
      </x:c>
      <x:c r="K112" s="12" t="inlineStr">
        <x:is>
          <x:t xml:space="preserve">Active</x:t>
        </x:is>
      </x:c>
      <x:c r="L112" s="12" t="inlineStr">
        <x:is>
          <x:t xml:space="preserve">Pending</x:t>
        </x:is>
      </x:c>
      <x:c r="M112" s="12" t="n">
        <x:v>23</x:v>
      </x:c>
      <x:c r="N112" s="12" t="n">
        <x:v>8</x:v>
      </x:c>
      <x:c r="O112" s="12" t="inlineStr">
        <x:is>
          <x:t xml:space="preserve">Processed</x:t>
        </x:is>
      </x:c>
    </x:row>
    <x:row r="113">
      <x:c r="A113" s="5" t="inlineStr">
        <x:is>
          <x:t xml:space="preserve">EMP20828</x:t>
        </x:is>
      </x:c>
      <x:c r="B113" s="6" t="inlineStr">
        <x:is>
          <x:t xml:space="preserve">Sneha Brown</x:t>
        </x:is>
      </x:c>
      <x:c r="C113" s="6" t="inlineStr">
        <x:is>
          <x:t xml:space="preserve">Risk Advisory</x:t>
        </x:is>
      </x:c>
      <x:c r="D113" s="5" t="inlineStr">
        <x:is>
          <x:t xml:space="preserve">Mumbai</x:t>
        </x:is>
      </x:c>
      <x:c r="E113" s="36" t="n">
        <x:v>45081</x:v>
      </x:c>
      <x:c r="F113" s="38" t="n">
        <x:v>27247</x:v>
      </x:c>
      <x:c r="G113" s="38" t="n">
        <x:v>10899</x:v>
      </x:c>
      <x:c r="H113" s="38" t="n">
        <x:v>6000</x:v>
      </x:c>
      <x:c r="I113" s="38" t="n">
        <x:v>3510</x:v>
      </x:c>
      <x:c r="J113" s="39">
        <x:f>F113+G113+H113-I113</x:f>
        <x:v>40636</x:v>
      </x:c>
      <x:c r="K113" s="12" t="inlineStr">
        <x:is>
          <x:t xml:space="preserve">Active</x:t>
        </x:is>
      </x:c>
      <x:c r="L113" s="12" t="inlineStr">
        <x:is>
          <x:t xml:space="preserve">Pending</x:t>
        </x:is>
      </x:c>
      <x:c r="M113" s="12" t="n">
        <x:v>20</x:v>
      </x:c>
      <x:c r="N113" s="12" t="n">
        <x:v>7</x:v>
      </x:c>
      <x:c r="O113" s="12" t="inlineStr">
        <x:is>
          <x:t xml:space="preserve">Processed</x:t>
        </x:is>
      </x:c>
    </x:row>
    <x:row r="114">
      <x:c r="A114" s="5" t="inlineStr">
        <x:is>
          <x:t xml:space="preserve">EMP15551</x:t>
        </x:is>
      </x:c>
      <x:c r="B114" s="6" t="inlineStr">
        <x:is>
          <x:t xml:space="preserve">Oliver Pillai</x:t>
        </x:is>
      </x:c>
      <x:c r="C114" s="6" t="inlineStr">
        <x:is>
          <x:t xml:space="preserve">Risk Advisory</x:t>
        </x:is>
      </x:c>
      <x:c r="D114" s="5" t="inlineStr">
        <x:is>
          <x:t xml:space="preserve">Chennai</x:t>
        </x:is>
      </x:c>
      <x:c r="E114" s="36" t="n">
        <x:v>44249</x:v>
      </x:c>
      <x:c r="F114" s="38" t="n">
        <x:v>63780</x:v>
      </x:c>
      <x:c r="G114" s="38" t="n">
        <x:v>25512</x:v>
      </x:c>
      <x:c r="H114" s="38" t="n">
        <x:v>7500</x:v>
      </x:c>
      <x:c r="I114" s="38" t="n">
        <x:v>3601</x:v>
      </x:c>
      <x:c r="J114" s="39">
        <x:f>F114+G114+H114-I114</x:f>
        <x:v>93191</x:v>
      </x:c>
      <x:c r="K114" s="12" t="inlineStr">
        <x:is>
          <x:t xml:space="preserve">Pending Verification</x:t>
        </x:is>
      </x:c>
      <x:c r="L114" s="12" t="inlineStr">
        <x:is>
          <x:t xml:space="preserve">Verified</x:t>
        </x:is>
      </x:c>
      <x:c r="M114" s="12" t="n">
        <x:v>18</x:v>
      </x:c>
      <x:c r="N114" s="12" t="n">
        <x:v>2</x:v>
      </x:c>
      <x:c r="O114" s="12" t="inlineStr">
        <x:is>
          <x:t xml:space="preserve">Pending</x:t>
        </x:is>
      </x:c>
    </x:row>
    <x:row r="115">
      <x:c r="A115" s="5" t="inlineStr">
        <x:is>
          <x:t xml:space="preserve">EMP98878</x:t>
        </x:is>
      </x:c>
      <x:c r="B115" s="6" t="inlineStr">
        <x:is>
          <x:t xml:space="preserve">Sophie Bose</x:t>
        </x:is>
      </x:c>
      <x:c r="C115" s="6" t="inlineStr">
        <x:is>
          <x:t xml:space="preserve">Finance Ops</x:t>
        </x:is>
      </x:c>
      <x:c r="D115" s="5" t="inlineStr">
        <x:is>
          <x:t xml:space="preserve">Bengaluru</x:t>
        </x:is>
      </x:c>
      <x:c r="E115" s="36" t="n">
        <x:v>44877</x:v>
      </x:c>
      <x:c r="F115" s="38" t="n">
        <x:v>45733</x:v>
      </x:c>
      <x:c r="G115" s="38" t="n">
        <x:v>18293</x:v>
      </x:c>
      <x:c r="H115" s="38" t="n">
        <x:v>1500</x:v>
      </x:c>
      <x:c r="I115" s="38" t="n">
        <x:v>5956</x:v>
      </x:c>
      <x:c r="J115" s="39">
        <x:f>F115+G115+H115-I115</x:f>
        <x:v>59570</x:v>
      </x:c>
      <x:c r="K115" s="12" t="inlineStr">
        <x:is>
          <x:t xml:space="preserve">Verified</x:t>
        </x:is>
      </x:c>
      <x:c r="L115" s="12" t="inlineStr">
        <x:is>
          <x:t xml:space="preserve">Pending</x:t>
        </x:is>
      </x:c>
      <x:c r="M115" s="12" t="n">
        <x:v>23</x:v>
      </x:c>
      <x:c r="N115" s="12" t="n">
        <x:v>5</x:v>
      </x:c>
      <x:c r="O115" s="12" t="inlineStr">
        <x:is>
          <x:t xml:space="preserve">Processed</x:t>
        </x:is>
      </x:c>
    </x:row>
    <x:row r="116">
      <x:c r="A116" s="5" t="inlineStr">
        <x:is>
          <x:t xml:space="preserve">EMP20077</x:t>
        </x:is>
      </x:c>
      <x:c r="B116" s="6" t="inlineStr">
        <x:is>
          <x:t xml:space="preserve">Divya Moore</x:t>
        </x:is>
      </x:c>
      <x:c r="C116" s="6" t="inlineStr">
        <x:is>
          <x:t xml:space="preserve">IT Support</x:t>
        </x:is>
      </x:c>
      <x:c r="D116" s="5" t="inlineStr">
        <x:is>
          <x:t xml:space="preserve">Noida</x:t>
        </x:is>
      </x:c>
      <x:c r="E116" s="36" t="n">
        <x:v>45239</x:v>
      </x:c>
      <x:c r="F116" s="38" t="n">
        <x:v>38358</x:v>
      </x:c>
      <x:c r="G116" s="38" t="n">
        <x:v>13425</x:v>
      </x:c>
      <x:c r="H116" s="38" t="n">
        <x:v>1500</x:v>
      </x:c>
      <x:c r="I116" s="38" t="n">
        <x:v>7026</x:v>
      </x:c>
      <x:c r="J116" s="39">
        <x:f>F116+G116+H116-I116</x:f>
        <x:v>46257</x:v>
      </x:c>
      <x:c r="K116" s="12" t="inlineStr">
        <x:is>
          <x:t xml:space="preserve">Verified</x:t>
        </x:is>
      </x:c>
      <x:c r="L116" s="12" t="inlineStr">
        <x:is>
          <x:t xml:space="preserve">Pending</x:t>
        </x:is>
      </x:c>
      <x:c r="M116" s="12" t="n">
        <x:v>26</x:v>
      </x:c>
      <x:c r="N116" s="12" t="n">
        <x:v>3</x:v>
      </x:c>
      <x:c r="O116" s="12" t="inlineStr">
        <x:is>
          <x:t xml:space="preserve">Pending</x:t>
        </x:is>
      </x:c>
    </x:row>
    <x:row r="117">
      <x:c r="A117" s="5" t="inlineStr">
        <x:is>
          <x:t xml:space="preserve">EMP25435</x:t>
        </x:is>
      </x:c>
      <x:c r="B117" s="6" t="inlineStr">
        <x:is>
          <x:t xml:space="preserve">Kiran Singh</x:t>
        </x:is>
      </x:c>
      <x:c r="C117" s="6" t="inlineStr">
        <x:is>
          <x:t xml:space="preserve">Talent Ops</x:t>
        </x:is>
      </x:c>
      <x:c r="D117" s="5" t="inlineStr">
        <x:is>
          <x:t xml:space="preserve">Kolkata</x:t>
        </x:is>
      </x:c>
      <x:c r="E117" s="36" t="n">
        <x:v>44844</x:v>
      </x:c>
      <x:c r="F117" s="38" t="n">
        <x:v>67480</x:v>
      </x:c>
      <x:c r="G117" s="38" t="n">
        <x:v>26992</x:v>
      </x:c>
      <x:c r="H117" s="38" t="n">
        <x:v>4500</x:v>
      </x:c>
      <x:c r="I117" s="38" t="n">
        <x:v>2004</x:v>
      </x:c>
      <x:c r="J117" s="39">
        <x:f>F117+G117+H117-I117</x:f>
        <x:v>96968</x:v>
      </x:c>
      <x:c r="K117" s="12" t="inlineStr">
        <x:is>
          <x:t xml:space="preserve">Verified</x:t>
        </x:is>
      </x:c>
      <x:c r="L117" s="12" t="inlineStr">
        <x:is>
          <x:t xml:space="preserve">Verified</x:t>
        </x:is>
      </x:c>
      <x:c r="M117" s="12" t="n">
        <x:v>25</x:v>
      </x:c>
      <x:c r="N117" s="12" t="n">
        <x:v>1</x:v>
      </x:c>
      <x:c r="O117" s="12" t="inlineStr">
        <x:is>
          <x:t xml:space="preserve">Pending</x:t>
        </x:is>
      </x:c>
    </x:row>
    <x:row r="118">
      <x:c r="A118" s="5" t="inlineStr">
        <x:is>
          <x:t xml:space="preserve">EMP68341</x:t>
        </x:is>
      </x:c>
      <x:c r="B118" s="6" t="inlineStr">
        <x:is>
          <x:t xml:space="preserve">Arjun Taylor</x:t>
        </x:is>
      </x:c>
      <x:c r="C118" s="6" t="inlineStr">
        <x:is>
          <x:t xml:space="preserve">IT Support</x:t>
        </x:is>
      </x:c>
      <x:c r="D118" s="5" t="inlineStr">
        <x:is>
          <x:t xml:space="preserve">Gurgaon</x:t>
        </x:is>
      </x:c>
      <x:c r="E118" s="36" t="n">
        <x:v>44457</x:v>
      </x:c>
      <x:c r="F118" s="38" t="n">
        <x:v>41029</x:v>
      </x:c>
      <x:c r="G118" s="38" t="n">
        <x:v>16412</x:v>
      </x:c>
      <x:c r="H118" s="38" t="n">
        <x:v>3000</x:v>
      </x:c>
      <x:c r="I118" s="38" t="n">
        <x:v>6831</x:v>
      </x:c>
      <x:c r="J118" s="39">
        <x:f>F118+G118+H118-I118</x:f>
        <x:v>53610</x:v>
      </x:c>
      <x:c r="K118" s="12" t="inlineStr">
        <x:is>
          <x:t xml:space="preserve">Pending Verification</x:t>
        </x:is>
      </x:c>
      <x:c r="L118" s="12" t="inlineStr">
        <x:is>
          <x:t xml:space="preserve">Verified</x:t>
        </x:is>
      </x:c>
      <x:c r="M118" s="12" t="n">
        <x:v>30</x:v>
      </x:c>
      <x:c r="N118" s="12" t="n">
        <x:v>1</x:v>
      </x:c>
      <x:c r="O118" s="12" t="inlineStr">
        <x:is>
          <x:t xml:space="preserve">Processed</x:t>
        </x:is>
      </x:c>
    </x:row>
    <x:row r="119">
      <x:c r="A119" s="5" t="inlineStr">
        <x:is>
          <x:t xml:space="preserve">EMP25907</x:t>
        </x:is>
      </x:c>
      <x:c r="B119" s="6" t="inlineStr">
        <x:is>
          <x:t xml:space="preserve">Henry Taylor</x:t>
        </x:is>
      </x:c>
      <x:c r="C119" s="6" t="inlineStr">
        <x:is>
          <x:t xml:space="preserve">Finance Ops</x:t>
        </x:is>
      </x:c>
      <x:c r="D119" s="5" t="inlineStr">
        <x:is>
          <x:t xml:space="preserve">Pune</x:t>
        </x:is>
      </x:c>
      <x:c r="E119" s="36" t="n">
        <x:v>45303</x:v>
      </x:c>
      <x:c r="F119" s="38" t="n">
        <x:v>58308</x:v>
      </x:c>
      <x:c r="G119" s="38" t="n">
        <x:v>26239</x:v>
      </x:c>
      <x:c r="H119" s="38" t="n">
        <x:v>7500</x:v>
      </x:c>
      <x:c r="I119" s="38" t="n">
        <x:v>4828</x:v>
      </x:c>
      <x:c r="J119" s="39">
        <x:f>F119+G119+H119-I119</x:f>
        <x:v>87219</x:v>
      </x:c>
      <x:c r="K119" s="12" t="inlineStr">
        <x:is>
          <x:t xml:space="preserve">Pending Verification</x:t>
        </x:is>
      </x:c>
      <x:c r="L119" s="12" t="inlineStr">
        <x:is>
          <x:t xml:space="preserve">Verified</x:t>
        </x:is>
      </x:c>
      <x:c r="M119" s="12" t="n">
        <x:v>27</x:v>
      </x:c>
      <x:c r="N119" s="12" t="n">
        <x:v>0</x:v>
      </x:c>
      <x:c r="O119" s="12" t="inlineStr">
        <x:is>
          <x:t xml:space="preserve">Processed</x:t>
        </x:is>
      </x:c>
    </x:row>
    <x:row r="120">
      <x:c r="A120" s="5" t="inlineStr">
        <x:is>
          <x:t xml:space="preserve">EMP62187</x:t>
        </x:is>
      </x:c>
      <x:c r="B120" s="6" t="inlineStr">
        <x:is>
          <x:t xml:space="preserve">William Moore</x:t>
        </x:is>
      </x:c>
      <x:c r="C120" s="6" t="inlineStr">
        <x:is>
          <x:t xml:space="preserve">Risk Advisory</x:t>
        </x:is>
      </x:c>
      <x:c r="D120" s="5" t="inlineStr">
        <x:is>
          <x:t xml:space="preserve">Noida</x:t>
        </x:is>
      </x:c>
      <x:c r="E120" s="36" t="n">
        <x:v>44266</x:v>
      </x:c>
      <x:c r="F120" s="38" t="n">
        <x:v>27230</x:v>
      </x:c>
      <x:c r="G120" s="38" t="n">
        <x:v>22434</x:v>
      </x:c>
      <x:c r="H120" s="38" t="n">
        <x:v>12000</x:v>
      </x:c>
      <x:c r="I120" s="38" t="n">
        <x:v>4816</x:v>
      </x:c>
      <x:c r="J120" s="39">
        <x:f>F120+G120+H120-I120</x:f>
        <x:v>56848</x:v>
      </x:c>
      <x:c r="K120" s="12" t="inlineStr">
        <x:is>
          <x:t xml:space="preserve">Pending Verification</x:t>
        </x:is>
      </x:c>
      <x:c r="L120" s="12" t="inlineStr">
        <x:is>
          <x:t xml:space="preserve">Pending</x:t>
        </x:is>
      </x:c>
      <x:c r="M120" s="12" t="n">
        <x:v>20</x:v>
      </x:c>
      <x:c r="N120" s="12" t="n">
        <x:v>8</x:v>
      </x:c>
      <x:c r="O120" s="12" t="inlineStr">
        <x:is>
          <x:t xml:space="preserve">Processed</x:t>
        </x:is>
      </x:c>
    </x:row>
    <x:row r="121">
      <x:c r="A121" s="5" t="inlineStr">
        <x:is>
          <x:t xml:space="preserve">EMP33850</x:t>
        </x:is>
      </x:c>
      <x:c r="B121" s="6" t="inlineStr">
        <x:is>
          <x:t xml:space="preserve">Divya Martin</x:t>
        </x:is>
      </x:c>
      <x:c r="C121" s="6" t="inlineStr">
        <x:is>
          <x:t xml:space="preserve">Tax Support</x:t>
        </x:is>
      </x:c>
      <x:c r="D121" s="5" t="inlineStr">
        <x:is>
          <x:t xml:space="preserve">Hyderabad</x:t>
        </x:is>
      </x:c>
      <x:c r="E121" s="36" t="n">
        <x:v>44444</x:v>
      </x:c>
      <x:c r="F121" s="38" t="n">
        <x:v>41931</x:v>
      </x:c>
      <x:c r="G121" s="38" t="n">
        <x:v>14676</x:v>
      </x:c>
      <x:c r="H121" s="38" t="n">
        <x:v>3000</x:v>
      </x:c>
      <x:c r="I121" s="38" t="n">
        <x:v>3643</x:v>
      </x:c>
      <x:c r="J121" s="39">
        <x:f>F121+G121+H121-I121</x:f>
        <x:v>55964</x:v>
      </x:c>
      <x:c r="K121" s="12" t="inlineStr">
        <x:is>
          <x:t xml:space="preserve">Pending Verification</x:t>
        </x:is>
      </x:c>
      <x:c r="L121" s="12" t="inlineStr">
        <x:is>
          <x:t xml:space="preserve">Verified</x:t>
        </x:is>
      </x:c>
      <x:c r="M121" s="12" t="n">
        <x:v>23</x:v>
      </x:c>
      <x:c r="N121" s="12" t="n">
        <x:v>8</x:v>
      </x:c>
      <x:c r="O121" s="12" t="inlineStr">
        <x:is>
          <x:t xml:space="preserve">Pending</x:t>
        </x:is>
      </x:c>
    </x:row>
    <x:row r="122">
      <x:c r="A122" s="5" t="inlineStr">
        <x:is>
          <x:t xml:space="preserve">EMP20336</x:t>
        </x:is>
      </x:c>
      <x:c r="B122" s="6" t="inlineStr">
        <x:is>
          <x:t xml:space="preserve">Kiran Harris</x:t>
        </x:is>
      </x:c>
      <x:c r="C122" s="6" t="inlineStr">
        <x:is>
          <x:t xml:space="preserve">Tax Support</x:t>
        </x:is>
      </x:c>
      <x:c r="D122" s="5" t="inlineStr">
        <x:is>
          <x:t xml:space="preserve">Chennai</x:t>
        </x:is>
      </x:c>
      <x:c r="E122" s="36" t="n">
        <x:v>44875</x:v>
      </x:c>
      <x:c r="F122" s="38" t="n">
        <x:v>62267</x:v>
      </x:c>
      <x:c r="G122" s="38" t="n">
        <x:v>28020</x:v>
      </x:c>
      <x:c r="H122" s="38" t="n">
        <x:v>2500</x:v>
      </x:c>
      <x:c r="I122" s="38" t="n">
        <x:v>5117</x:v>
      </x:c>
      <x:c r="J122" s="39">
        <x:f>F122+G122+H122-I122</x:f>
        <x:v>87670</x:v>
      </x:c>
      <x:c r="K122" s="12" t="inlineStr">
        <x:is>
          <x:t xml:space="preserve">Pending Verification</x:t>
        </x:is>
      </x:c>
      <x:c r="L122" s="12" t="inlineStr">
        <x:is>
          <x:t xml:space="preserve">Verified</x:t>
        </x:is>
      </x:c>
      <x:c r="M122" s="12" t="n">
        <x:v>27</x:v>
      </x:c>
      <x:c r="N122" s="12" t="n">
        <x:v>4</x:v>
      </x:c>
      <x:c r="O122" s="12" t="inlineStr">
        <x:is>
          <x:t xml:space="preserve">Processed</x:t>
        </x:is>
      </x:c>
    </x:row>
    <x:row r="123">
      <x:c r="A123" s="5" t="inlineStr">
        <x:is>
          <x:t xml:space="preserve">EMP96341</x:t>
        </x:is>
      </x:c>
      <x:c r="B123" s="6" t="inlineStr">
        <x:is>
          <x:t xml:space="preserve">Noah Thomas</x:t>
        </x:is>
      </x:c>
      <x:c r="C123" s="6" t="inlineStr">
        <x:is>
          <x:t xml:space="preserve">Consulting Ops</x:t>
        </x:is>
      </x:c>
      <x:c r="D123" s="5" t="inlineStr">
        <x:is>
          <x:t xml:space="preserve">Hyderabad</x:t>
        </x:is>
      </x:c>
      <x:c r="E123" s="36" t="n">
        <x:v>44229</x:v>
      </x:c>
      <x:c r="F123" s="38" t="n">
        <x:v>64038</x:v>
      </x:c>
      <x:c r="G123" s="38" t="n">
        <x:v>28817</x:v>
      </x:c>
      <x:c r="H123" s="38" t="n">
        <x:v>6000</x:v>
      </x:c>
      <x:c r="I123" s="38" t="n">
        <x:v>6334</x:v>
      </x:c>
      <x:c r="J123" s="39">
        <x:f>F123+G123+H123-I123</x:f>
        <x:v>92521</x:v>
      </x:c>
      <x:c r="K123" s="12" t="inlineStr">
        <x:is>
          <x:t xml:space="preserve">Verified</x:t>
        </x:is>
      </x:c>
      <x:c r="L123" s="12" t="inlineStr">
        <x:is>
          <x:t xml:space="preserve">Pending</x:t>
        </x:is>
      </x:c>
      <x:c r="M123" s="12" t="n">
        <x:v>27</x:v>
      </x:c>
      <x:c r="N123" s="12" t="n">
        <x:v>0</x:v>
      </x:c>
      <x:c r="O123" s="12" t="inlineStr">
        <x:is>
          <x:t xml:space="preserve">Processed</x:t>
        </x:is>
      </x:c>
    </x:row>
    <x:row r="124">
      <x:c r="A124" s="5" t="inlineStr">
        <x:is>
          <x:t xml:space="preserve">EMP92203</x:t>
        </x:is>
      </x:c>
      <x:c r="B124" s="6" t="inlineStr">
        <x:is>
          <x:t xml:space="preserve">Lucas Rao</x:t>
        </x:is>
      </x:c>
      <x:c r="C124" s="6" t="inlineStr">
        <x:is>
          <x:t xml:space="preserve">Talent Ops</x:t>
        </x:is>
      </x:c>
      <x:c r="D124" s="5" t="inlineStr">
        <x:is>
          <x:t xml:space="preserve">Kolkata</x:t>
        </x:is>
      </x:c>
      <x:c r="E124" s="36" t="n">
        <x:v>44878</x:v>
      </x:c>
      <x:c r="F124" s="38" t="n">
        <x:v>41492</x:v>
      </x:c>
      <x:c r="G124" s="38" t="n">
        <x:v>16597</x:v>
      </x:c>
      <x:c r="H124" s="38" t="n">
        <x:v>2500</x:v>
      </x:c>
      <x:c r="I124" s="38" t="n">
        <x:v>6641</x:v>
      </x:c>
      <x:c r="J124" s="39">
        <x:f>F124+G124+H124-I124</x:f>
        <x:v>53948</x:v>
      </x:c>
      <x:c r="K124" s="12" t="inlineStr">
        <x:is>
          <x:t xml:space="preserve">Verified</x:t>
        </x:is>
      </x:c>
      <x:c r="L124" s="12" t="inlineStr">
        <x:is>
          <x:t xml:space="preserve">Verified</x:t>
        </x:is>
      </x:c>
      <x:c r="M124" s="12" t="n">
        <x:v>25</x:v>
      </x:c>
      <x:c r="N124" s="12" t="n">
        <x:v>3</x:v>
      </x:c>
      <x:c r="O124" s="12" t="inlineStr">
        <x:is>
          <x:t xml:space="preserve">Processed</x:t>
        </x:is>
      </x:c>
    </x:row>
    <x:row r="125">
      <x:c r="A125" s="5" t="inlineStr">
        <x:is>
          <x:t xml:space="preserve">EMP36741</x:t>
        </x:is>
      </x:c>
      <x:c r="B125" s="6" t="inlineStr">
        <x:is>
          <x:t xml:space="preserve">Noah Pillai</x:t>
        </x:is>
      </x:c>
      <x:c r="C125" s="6" t="inlineStr">
        <x:is>
          <x:t xml:space="preserve">Finance Ops</x:t>
        </x:is>
      </x:c>
      <x:c r="D125" s="5" t="inlineStr">
        <x:is>
          <x:t xml:space="preserve">Gurgaon</x:t>
        </x:is>
      </x:c>
      <x:c r="E125" s="36" t="n">
        <x:v>45288</x:v>
      </x:c>
      <x:c r="F125" s="38" t="n">
        <x:v>44634</x:v>
      </x:c>
      <x:c r="G125" s="38" t="n">
        <x:v>17854</x:v>
      </x:c>
      <x:c r="H125" s="38" t="n">
        <x:v>3000</x:v>
      </x:c>
      <x:c r="I125" s="38" t="n">
        <x:v>7231</x:v>
      </x:c>
      <x:c r="J125" s="39">
        <x:f>F125+G125+H125-I125</x:f>
        <x:v>58257</x:v>
      </x:c>
      <x:c r="K125" s="12" t="inlineStr">
        <x:is>
          <x:t xml:space="preserve">Active</x:t>
        </x:is>
      </x:c>
      <x:c r="L125" s="12" t="inlineStr">
        <x:is>
          <x:t xml:space="preserve">Verified</x:t>
        </x:is>
      </x:c>
      <x:c r="M125" s="12" t="n">
        <x:v>23</x:v>
      </x:c>
      <x:c r="N125" s="12" t="n">
        <x:v>3</x:v>
      </x:c>
      <x:c r="O125" s="12" t="inlineStr">
        <x:is>
          <x:t xml:space="preserve">Processed</x:t>
        </x:is>
      </x:c>
    </x:row>
    <x:row r="126">
      <x:c r="A126" s="5" t="inlineStr">
        <x:is>
          <x:t xml:space="preserve">EMP45058</x:t>
        </x:is>
      </x:c>
      <x:c r="B126" s="6" t="inlineStr">
        <x:is>
          <x:t xml:space="preserve">Sophie Iyer</x:t>
        </x:is>
      </x:c>
      <x:c r="C126" s="6" t="inlineStr">
        <x:is>
          <x:t xml:space="preserve">Finance Ops</x:t>
        </x:is>
      </x:c>
      <x:c r="D126" s="5" t="inlineStr">
        <x:is>
          <x:t xml:space="preserve">Bengaluru</x:t>
        </x:is>
      </x:c>
      <x:c r="E126" s="36" t="n">
        <x:v>44329</x:v>
      </x:c>
      <x:c r="F126" s="38" t="n">
        <x:v>62329</x:v>
      </x:c>
      <x:c r="G126" s="38" t="n">
        <x:v>24932</x:v>
      </x:c>
      <x:c r="H126" s="38" t="n">
        <x:v>4500</x:v>
      </x:c>
      <x:c r="I126" s="38" t="n">
        <x:v>2308</x:v>
      </x:c>
      <x:c r="J126" s="39">
        <x:f>F126+G126+H126-I126</x:f>
        <x:v>89453</x:v>
      </x:c>
      <x:c r="K126" s="12" t="inlineStr">
        <x:is>
          <x:t xml:space="preserve">Active</x:t>
        </x:is>
      </x:c>
      <x:c r="L126" s="12" t="inlineStr">
        <x:is>
          <x:t xml:space="preserve">Pending</x:t>
        </x:is>
      </x:c>
      <x:c r="M126" s="12" t="n">
        <x:v>21</x:v>
      </x:c>
      <x:c r="N126" s="12" t="n">
        <x:v>2</x:v>
      </x:c>
      <x:c r="O126" s="12" t="inlineStr">
        <x:is>
          <x:t xml:space="preserve">Processed</x:t>
        </x:is>
      </x:c>
    </x:row>
    <x:row r="127">
      <x:c r="A127" s="5" t="inlineStr">
        <x:is>
          <x:t xml:space="preserve">EMP77466</x:t>
        </x:is>
      </x:c>
      <x:c r="B127" s="6" t="inlineStr">
        <x:is>
          <x:t xml:space="preserve">Vikram Miller</x:t>
        </x:is>
      </x:c>
      <x:c r="C127" s="6" t="inlineStr">
        <x:is>
          <x:t xml:space="preserve">Talent Ops</x:t>
        </x:is>
      </x:c>
      <x:c r="D127" s="5" t="inlineStr">
        <x:is>
          <x:t xml:space="preserve">Kolkata</x:t>
        </x:is>
      </x:c>
      <x:c r="E127" s="36" t="n">
        <x:v>44240</x:v>
      </x:c>
      <x:c r="F127" s="38" t="n">
        <x:v>55124</x:v>
      </x:c>
      <x:c r="G127" s="38" t="n">
        <x:v>22050</x:v>
      </x:c>
      <x:c r="H127" s="38" t="n">
        <x:v>4500</x:v>
      </x:c>
      <x:c r="I127" s="38" t="n">
        <x:v>2762</x:v>
      </x:c>
      <x:c r="J127" s="39">
        <x:f>F127+G127+H127-I127</x:f>
        <x:v>78912</x:v>
      </x:c>
      <x:c r="K127" s="12" t="inlineStr">
        <x:is>
          <x:t xml:space="preserve">Pending Verification</x:t>
        </x:is>
      </x:c>
      <x:c r="L127" s="12" t="inlineStr">
        <x:is>
          <x:t xml:space="preserve">Pending</x:t>
        </x:is>
      </x:c>
      <x:c r="M127" s="12" t="n">
        <x:v>18</x:v>
      </x:c>
      <x:c r="N127" s="12" t="n">
        <x:v>0</x:v>
      </x:c>
      <x:c r="O127" s="12" t="inlineStr">
        <x:is>
          <x:t xml:space="preserve">Processed</x:t>
        </x:is>
      </x:c>
    </x:row>
    <x:row r="128">
      <x:c r="A128" s="5" t="inlineStr">
        <x:is>
          <x:t xml:space="preserve">EMP88317</x:t>
        </x:is>
      </x:c>
      <x:c r="B128" s="6" t="inlineStr">
        <x:is>
          <x:t xml:space="preserve">William Johnson</x:t>
        </x:is>
      </x:c>
      <x:c r="C128" s="6" t="inlineStr">
        <x:is>
          <x:t xml:space="preserve">Tax Support</x:t>
        </x:is>
      </x:c>
      <x:c r="D128" s="5" t="inlineStr">
        <x:is>
          <x:t xml:space="preserve">Hyderabad</x:t>
        </x:is>
      </x:c>
      <x:c r="E128" s="36" t="n">
        <x:v>44382</x:v>
      </x:c>
      <x:c r="F128" s="38" t="n">
        <x:v>39332</x:v>
      </x:c>
      <x:c r="G128" s="38" t="n">
        <x:v>17699</x:v>
      </x:c>
      <x:c r="H128" s="38" t="n">
        <x:v>7500</x:v>
      </x:c>
      <x:c r="I128" s="38" t="n">
        <x:v>7257</x:v>
      </x:c>
      <x:c r="J128" s="39">
        <x:f>F128+G128+H128-I128</x:f>
        <x:v>57274</x:v>
      </x:c>
      <x:c r="K128" s="12" t="inlineStr">
        <x:is>
          <x:t xml:space="preserve">Active</x:t>
        </x:is>
      </x:c>
      <x:c r="L128" s="12" t="inlineStr">
        <x:is>
          <x:t xml:space="preserve">Pending</x:t>
        </x:is>
      </x:c>
      <x:c r="M128" s="12" t="n">
        <x:v>18</x:v>
      </x:c>
      <x:c r="N128" s="12" t="n">
        <x:v>6</x:v>
      </x:c>
      <x:c r="O128" s="12" t="inlineStr">
        <x:is>
          <x:t xml:space="preserve">Processed</x:t>
        </x:is>
      </x:c>
    </x:row>
    <x:row r="129">
      <x:c r="A129" s="5" t="inlineStr">
        <x:is>
          <x:t xml:space="preserve">EMP83638</x:t>
        </x:is>
      </x:c>
      <x:c r="B129" s="6" t="inlineStr">
        <x:is>
          <x:t xml:space="preserve">Henry Kumar</x:t>
        </x:is>
      </x:c>
      <x:c r="C129" s="6" t="inlineStr">
        <x:is>
          <x:t xml:space="preserve">Tax Support</x:t>
        </x:is>
      </x:c>
      <x:c r="D129" s="5" t="inlineStr">
        <x:is>
          <x:t xml:space="preserve">Chennai</x:t>
        </x:is>
      </x:c>
      <x:c r="E129" s="36" t="n">
        <x:v>44394</x:v>
      </x:c>
      <x:c r="F129" s="38" t="n">
        <x:v>51514</x:v>
      </x:c>
      <x:c r="G129" s="38" t="n">
        <x:v>23181</x:v>
      </x:c>
      <x:c r="H129" s="38" t="n">
        <x:v>6000</x:v>
      </x:c>
      <x:c r="I129" s="38" t="n">
        <x:v>7760</x:v>
      </x:c>
      <x:c r="J129" s="39">
        <x:f>F129+G129+H129-I129</x:f>
        <x:v>72935</x:v>
      </x:c>
      <x:c r="K129" s="12" t="inlineStr">
        <x:is>
          <x:t xml:space="preserve">Pending Verification</x:t>
        </x:is>
      </x:c>
      <x:c r="L129" s="12" t="inlineStr">
        <x:is>
          <x:t xml:space="preserve">Verified</x:t>
        </x:is>
      </x:c>
      <x:c r="M129" s="12" t="n">
        <x:v>20</x:v>
      </x:c>
      <x:c r="N129" s="12" t="n">
        <x:v>1</x:v>
      </x:c>
      <x:c r="O129" s="12" t="inlineStr">
        <x:is>
          <x:t xml:space="preserve">Processed</x:t>
        </x:is>
      </x:c>
    </x:row>
    <x:row r="130">
      <x:c r="A130" s="5" t="inlineStr">
        <x:is>
          <x:t xml:space="preserve">EMP72287</x:t>
        </x:is>
      </x:c>
      <x:c r="B130" s="6" t="inlineStr">
        <x:is>
          <x:t xml:space="preserve">Pooja Singh</x:t>
        </x:is>
      </x:c>
      <x:c r="C130" s="6" t="inlineStr">
        <x:is>
          <x:t xml:space="preserve">Finance Ops</x:t>
        </x:is>
      </x:c>
      <x:c r="D130" s="5" t="inlineStr">
        <x:is>
          <x:t xml:space="preserve">Pune</x:t>
        </x:is>
      </x:c>
      <x:c r="E130" s="36" t="n">
        <x:v>45537</x:v>
      </x:c>
      <x:c r="F130" s="38" t="n">
        <x:v>24969</x:v>
      </x:c>
      <x:c r="G130" s="38" t="n">
        <x:v>8739</x:v>
      </x:c>
      <x:c r="H130" s="38" t="n">
        <x:v>3000</x:v>
      </x:c>
      <x:c r="I130" s="38" t="n">
        <x:v>6845</x:v>
      </x:c>
      <x:c r="J130" s="39">
        <x:f>F130+G130+H130-I130</x:f>
        <x:v>29863</x:v>
      </x:c>
      <x:c r="K130" s="12" t="inlineStr">
        <x:is>
          <x:t xml:space="preserve">Active</x:t>
        </x:is>
      </x:c>
      <x:c r="L130" s="12" t="inlineStr">
        <x:is>
          <x:t xml:space="preserve">Pending</x:t>
        </x:is>
      </x:c>
      <x:c r="M130" s="12" t="n">
        <x:v>26</x:v>
      </x:c>
      <x:c r="N130" s="12" t="n">
        <x:v>3</x:v>
      </x:c>
      <x:c r="O130" s="12" t="inlineStr">
        <x:is>
          <x:t xml:space="preserve">Processed</x:t>
        </x:is>
      </x:c>
    </x:row>
    <x:row r="131">
      <x:c r="A131" s="5" t="inlineStr">
        <x:is>
          <x:t xml:space="preserve">EMP77568</x:t>
        </x:is>
      </x:c>
      <x:c r="B131" s="6" t="inlineStr">
        <x:is>
          <x:t xml:space="preserve">Divya Khan</x:t>
        </x:is>
      </x:c>
      <x:c r="C131" s="6" t="inlineStr">
        <x:is>
          <x:t xml:space="preserve">Consulting Ops</x:t>
        </x:is>
      </x:c>
      <x:c r="D131" s="5" t="inlineStr">
        <x:is>
          <x:t xml:space="preserve">Gurgaon</x:t>
        </x:is>
      </x:c>
      <x:c r="E131" s="36" t="n">
        <x:v>44762</x:v>
      </x:c>
      <x:c r="F131" s="38" t="n">
        <x:v>70452</x:v>
      </x:c>
      <x:c r="G131" s="38" t="n">
        <x:v>28181</x:v>
      </x:c>
      <x:c r="H131" s="38" t="n">
        <x:v>7500</x:v>
      </x:c>
      <x:c r="I131" s="38" t="n">
        <x:v>5155</x:v>
      </x:c>
      <x:c r="J131" s="39">
        <x:f>F131+G131+H131-I131</x:f>
        <x:v>100978</x:v>
      </x:c>
      <x:c r="K131" s="12" t="inlineStr">
        <x:is>
          <x:t xml:space="preserve">Pending Verification</x:t>
        </x:is>
      </x:c>
      <x:c r="L131" s="12" t="inlineStr">
        <x:is>
          <x:t xml:space="preserve">Pending</x:t>
        </x:is>
      </x:c>
      <x:c r="M131" s="12" t="n">
        <x:v>29</x:v>
      </x:c>
      <x:c r="N131" s="12" t="n">
        <x:v>2</x:v>
      </x:c>
      <x:c r="O131" s="12" t="inlineStr">
        <x:is>
          <x:t xml:space="preserve">Processed</x:t>
        </x:is>
      </x:c>
    </x:row>
    <x:row r="132">
      <x:c r="A132" s="5" t="inlineStr">
        <x:is>
          <x:t xml:space="preserve">EMP12180</x:t>
        </x:is>
      </x:c>
      <x:c r="B132" s="6" t="inlineStr">
        <x:is>
          <x:t xml:space="preserve">Pooja Khan</x:t>
        </x:is>
      </x:c>
      <x:c r="C132" s="6" t="inlineStr">
        <x:is>
          <x:t xml:space="preserve">HR Shared Services</x:t>
        </x:is>
      </x:c>
      <x:c r="D132" s="5" t="inlineStr">
        <x:is>
          <x:t xml:space="preserve">Noida</x:t>
        </x:is>
      </x:c>
      <x:c r="E132" s="36" t="n">
        <x:v>45288</x:v>
      </x:c>
      <x:c r="F132" s="38" t="n">
        <x:v>67091</x:v>
      </x:c>
      <x:c r="G132" s="38" t="n">
        <x:v>30191</x:v>
      </x:c>
      <x:c r="H132" s="38" t="n">
        <x:v>1500</x:v>
      </x:c>
      <x:c r="I132" s="38" t="n">
        <x:v>5889</x:v>
      </x:c>
      <x:c r="J132" s="39">
        <x:f>F132+G132+H132-I132</x:f>
        <x:v>92893</x:v>
      </x:c>
      <x:c r="K132" s="12" t="inlineStr">
        <x:is>
          <x:t xml:space="preserve">Active</x:t>
        </x:is>
      </x:c>
      <x:c r="L132" s="12" t="inlineStr">
        <x:is>
          <x:t xml:space="preserve">Pending</x:t>
        </x:is>
      </x:c>
      <x:c r="M132" s="12" t="n">
        <x:v>28</x:v>
      </x:c>
      <x:c r="N132" s="12" t="n">
        <x:v>1</x:v>
      </x:c>
      <x:c r="O132" s="12" t="inlineStr">
        <x:is>
          <x:t xml:space="preserve">Processed</x:t>
        </x:is>
      </x:c>
    </x:row>
    <x:row r="133">
      <x:c r="A133" s="5" t="inlineStr">
        <x:is>
          <x:t xml:space="preserve">EMP86483</x:t>
        </x:is>
      </x:c>
      <x:c r="B133" s="6" t="inlineStr">
        <x:is>
          <x:t xml:space="preserve">William Gupta</x:t>
        </x:is>
      </x:c>
      <x:c r="C133" s="6" t="inlineStr">
        <x:is>
          <x:t xml:space="preserve">Tax Support</x:t>
        </x:is>
      </x:c>
      <x:c r="D133" s="5" t="inlineStr">
        <x:is>
          <x:t xml:space="preserve">Noida</x:t>
        </x:is>
      </x:c>
      <x:c r="E133" s="36" t="n">
        <x:v>44873</x:v>
      </x:c>
      <x:c r="F133" s="38" t="n">
        <x:v>24069</x:v>
      </x:c>
      <x:c r="G133" s="38" t="n">
        <x:v>10831</x:v>
      </x:c>
      <x:c r="H133" s="38" t="n">
        <x:v>2500</x:v>
      </x:c>
      <x:c r="I133" s="38" t="n">
        <x:v>2562</x:v>
      </x:c>
      <x:c r="J133" s="39">
        <x:f>F133+G133+H133-I133</x:f>
        <x:v>34838</x:v>
      </x:c>
      <x:c r="K133" s="12" t="inlineStr">
        <x:is>
          <x:t xml:space="preserve">Verified</x:t>
        </x:is>
      </x:c>
      <x:c r="L133" s="12" t="inlineStr">
        <x:is>
          <x:t xml:space="preserve">Pending</x:t>
        </x:is>
      </x:c>
      <x:c r="M133" s="12" t="n">
        <x:v>23</x:v>
      </x:c>
      <x:c r="N133" s="12" t="n">
        <x:v>6</x:v>
      </x:c>
      <x:c r="O133" s="12" t="inlineStr">
        <x:is>
          <x:t xml:space="preserve">Processed</x:t>
        </x:is>
      </x:c>
    </x:row>
    <x:row r="134">
      <x:c r="A134" s="5" t="inlineStr">
        <x:is>
          <x:t xml:space="preserve">EMP36724</x:t>
        </x:is>
      </x:c>
      <x:c r="B134" s="6" t="inlineStr">
        <x:is>
          <x:t xml:space="preserve">Rohan Moore</x:t>
        </x:is>
      </x:c>
      <x:c r="C134" s="6" t="inlineStr">
        <x:is>
          <x:t xml:space="preserve">Consulting Ops</x:t>
        </x:is>
      </x:c>
      <x:c r="D134" s="5" t="inlineStr">
        <x:is>
          <x:t xml:space="preserve">Kolkata</x:t>
        </x:is>
      </x:c>
      <x:c r="E134" s="36" t="n">
        <x:v>44535</x:v>
      </x:c>
      <x:c r="F134" s="38" t="n">
        <x:v>55992</x:v>
      </x:c>
      <x:c r="G134" s="38" t="n">
        <x:v>19597</x:v>
      </x:c>
      <x:c r="H134" s="38" t="n">
        <x:v>7500</x:v>
      </x:c>
      <x:c r="I134" s="38" t="n">
        <x:v>6424</x:v>
      </x:c>
      <x:c r="J134" s="39">
        <x:f>F134+G134+H134-I134</x:f>
        <x:v>76665</x:v>
      </x:c>
      <x:c r="K134" s="12" t="inlineStr">
        <x:is>
          <x:t xml:space="preserve">Active</x:t>
        </x:is>
      </x:c>
      <x:c r="L134" s="12" t="inlineStr">
        <x:is>
          <x:t xml:space="preserve">Verified</x:t>
        </x:is>
      </x:c>
      <x:c r="M134" s="12" t="n">
        <x:v>23</x:v>
      </x:c>
      <x:c r="N134" s="12" t="n">
        <x:v>2</x:v>
      </x:c>
      <x:c r="O134" s="12" t="inlineStr">
        <x:is>
          <x:t xml:space="preserve">Processed</x:t>
        </x:is>
      </x:c>
    </x:row>
    <x:row r="135">
      <x:c r="A135" s="5" t="inlineStr">
        <x:is>
          <x:t xml:space="preserve">EMP79878</x:t>
        </x:is>
      </x:c>
      <x:c r="B135" s="6" t="inlineStr">
        <x:is>
          <x:t xml:space="preserve">Noah Nair</x:t>
        </x:is>
      </x:c>
      <x:c r="C135" s="6" t="inlineStr">
        <x:is>
          <x:t xml:space="preserve">IT Support</x:t>
        </x:is>
      </x:c>
      <x:c r="D135" s="5" t="inlineStr">
        <x:is>
          <x:t xml:space="preserve">Chennai</x:t>
        </x:is>
      </x:c>
      <x:c r="E135" s="36" t="n">
        <x:v>45390</x:v>
      </x:c>
      <x:c r="F135" s="38" t="n">
        <x:v>40284</x:v>
      </x:c>
      <x:c r="G135" s="38" t="n">
        <x:v>18128</x:v>
      </x:c>
      <x:c r="H135" s="38" t="n">
        <x:v>6000</x:v>
      </x:c>
      <x:c r="I135" s="38" t="n">
        <x:v>2842</x:v>
      </x:c>
      <x:c r="J135" s="39">
        <x:f>F135+G135+H135-I135</x:f>
        <x:v>61570</x:v>
      </x:c>
      <x:c r="K135" s="12" t="inlineStr">
        <x:is>
          <x:t xml:space="preserve">Active</x:t>
        </x:is>
      </x:c>
      <x:c r="L135" s="12" t="inlineStr">
        <x:is>
          <x:t xml:space="preserve">Pending</x:t>
        </x:is>
      </x:c>
      <x:c r="M135" s="12" t="n">
        <x:v>29</x:v>
      </x:c>
      <x:c r="N135" s="12" t="n">
        <x:v>0</x:v>
      </x:c>
      <x:c r="O135" s="12" t="inlineStr">
        <x:is>
          <x:t xml:space="preserve">Processed</x:t>
        </x:is>
      </x:c>
    </x:row>
    <x:row r="136">
      <x:c r="A136" s="5" t="inlineStr">
        <x:is>
          <x:t xml:space="preserve">EMP74094</x:t>
        </x:is>
      </x:c>
      <x:c r="B136" s="6" t="inlineStr">
        <x:is>
          <x:t xml:space="preserve">Mohammed Miller</x:t>
        </x:is>
      </x:c>
      <x:c r="C136" s="6" t="inlineStr">
        <x:is>
          <x:t xml:space="preserve">IT Support</x:t>
        </x:is>
      </x:c>
      <x:c r="D136" s="5" t="inlineStr">
        <x:is>
          <x:t xml:space="preserve">Chennai</x:t>
        </x:is>
      </x:c>
      <x:c r="E136" s="36" t="n">
        <x:v>44976</x:v>
      </x:c>
      <x:c r="F136" s="38" t="n">
        <x:v>66343</x:v>
      </x:c>
      <x:c r="G136" s="38" t="n">
        <x:v>29854</x:v>
      </x:c>
      <x:c r="H136" s="38" t="n">
        <x:v>9000</x:v>
      </x:c>
      <x:c r="I136" s="38" t="n">
        <x:v>4232</x:v>
      </x:c>
      <x:c r="J136" s="39">
        <x:f>F136+G136+H136-I136</x:f>
        <x:v>100965</x:v>
      </x:c>
      <x:c r="K136" s="12" t="inlineStr">
        <x:is>
          <x:t xml:space="preserve">Active</x:t>
        </x:is>
      </x:c>
      <x:c r="L136" s="12" t="inlineStr">
        <x:is>
          <x:t xml:space="preserve">Verified</x:t>
        </x:is>
      </x:c>
      <x:c r="M136" s="12" t="n">
        <x:v>22</x:v>
      </x:c>
      <x:c r="N136" s="12" t="n">
        <x:v>0</x:v>
      </x:c>
      <x:c r="O136" s="12" t="inlineStr">
        <x:is>
          <x:t xml:space="preserve">Processed</x:t>
        </x:is>
      </x:c>
    </x:row>
    <x:row r="137">
      <x:c r="A137" s="5" t="inlineStr">
        <x:is>
          <x:t xml:space="preserve">EMP20358</x:t>
        </x:is>
      </x:c>
      <x:c r="B137" s="6" t="inlineStr">
        <x:is>
          <x:t xml:space="preserve">Oliver White</x:t>
        </x:is>
      </x:c>
      <x:c r="C137" s="6" t="inlineStr">
        <x:is>
          <x:t xml:space="preserve">Audit Support</x:t>
        </x:is>
      </x:c>
      <x:c r="D137" s="5" t="inlineStr">
        <x:is>
          <x:t xml:space="preserve">Chennai</x:t>
        </x:is>
      </x:c>
      <x:c r="E137" s="36" t="n">
        <x:v>45389</x:v>
      </x:c>
      <x:c r="F137" s="38" t="n">
        <x:v>76260</x:v>
      </x:c>
      <x:c r="G137" s="38" t="n">
        <x:v>34317</x:v>
      </x:c>
      <x:c r="H137" s="38" t="n">
        <x:v>6000</x:v>
      </x:c>
      <x:c r="I137" s="38" t="n">
        <x:v>5604</x:v>
      </x:c>
      <x:c r="J137" s="39">
        <x:f>F137+G137+H137-I137</x:f>
        <x:v>110973</x:v>
      </x:c>
      <x:c r="K137" s="12" t="inlineStr">
        <x:is>
          <x:t xml:space="preserve">Pending Verification</x:t>
        </x:is>
      </x:c>
      <x:c r="L137" s="12" t="inlineStr">
        <x:is>
          <x:t xml:space="preserve">Pending</x:t>
        </x:is>
      </x:c>
      <x:c r="M137" s="12" t="n">
        <x:v>20</x:v>
      </x:c>
      <x:c r="N137" s="12" t="n">
        <x:v>1</x:v>
      </x:c>
      <x:c r="O137" s="12" t="inlineStr">
        <x:is>
          <x:t xml:space="preserve">Processed</x:t>
        </x:is>
      </x:c>
    </x:row>
    <x:row r="138">
      <x:c r="A138" s="5" t="inlineStr">
        <x:is>
          <x:t xml:space="preserve">EMP86917</x:t>
        </x:is>
      </x:c>
      <x:c r="B138" s="6" t="inlineStr">
        <x:is>
          <x:t xml:space="preserve">Kavya Iyer</x:t>
        </x:is>
      </x:c>
      <x:c r="C138" s="6" t="inlineStr">
        <x:is>
          <x:t xml:space="preserve">Payroll Ops</x:t>
        </x:is>
      </x:c>
      <x:c r="D138" s="5" t="inlineStr">
        <x:is>
          <x:t xml:space="preserve">Pune</x:t>
        </x:is>
      </x:c>
      <x:c r="E138" s="36" t="n">
        <x:v>44565</x:v>
      </x:c>
      <x:c r="F138" s="38" t="n">
        <x:v>49086</x:v>
      </x:c>
      <x:c r="G138" s="38" t="n">
        <x:v>19634</x:v>
      </x:c>
      <x:c r="H138" s="38" t="n">
        <x:v>12000</x:v>
      </x:c>
      <x:c r="I138" s="38" t="n">
        <x:v>1823</x:v>
      </x:c>
      <x:c r="J138" s="39">
        <x:f>F138+G138+H138-I138</x:f>
        <x:v>78897</x:v>
      </x:c>
      <x:c r="K138" s="12" t="inlineStr">
        <x:is>
          <x:t xml:space="preserve">Pending Verification</x:t>
        </x:is>
      </x:c>
      <x:c r="L138" s="12" t="inlineStr">
        <x:is>
          <x:t xml:space="preserve">Verified</x:t>
        </x:is>
      </x:c>
      <x:c r="M138" s="12" t="n">
        <x:v>18</x:v>
      </x:c>
      <x:c r="N138" s="12" t="n">
        <x:v>8</x:v>
      </x:c>
      <x:c r="O138" s="12" t="inlineStr">
        <x:is>
          <x:t xml:space="preserve">Hold</x:t>
        </x:is>
      </x:c>
    </x:row>
    <x:row r="139">
      <x:c r="A139" s="5" t="inlineStr">
        <x:is>
          <x:t xml:space="preserve">EMP30701</x:t>
        </x:is>
      </x:c>
      <x:c r="B139" s="6" t="inlineStr">
        <x:is>
          <x:t xml:space="preserve">Rohan Rao</x:t>
        </x:is>
      </x:c>
      <x:c r="C139" s="6" t="inlineStr">
        <x:is>
          <x:t xml:space="preserve">Audit Support</x:t>
        </x:is>
      </x:c>
      <x:c r="D139" s="5" t="inlineStr">
        <x:is>
          <x:t xml:space="preserve">Kolkata</x:t>
        </x:is>
      </x:c>
      <x:c r="E139" s="36" t="n">
        <x:v>44692</x:v>
      </x:c>
      <x:c r="F139" s="38" t="n">
        <x:v>40704</x:v>
      </x:c>
      <x:c r="G139" s="38" t="n">
        <x:v>18317</x:v>
      </x:c>
      <x:c r="H139" s="38" t="n">
        <x:v>1500</x:v>
      </x:c>
      <x:c r="I139" s="38" t="n">
        <x:v>7297</x:v>
      </x:c>
      <x:c r="J139" s="39">
        <x:f>F139+G139+H139-I139</x:f>
        <x:v>53224</x:v>
      </x:c>
      <x:c r="K139" s="12" t="inlineStr">
        <x:is>
          <x:t xml:space="preserve">Verified</x:t>
        </x:is>
      </x:c>
      <x:c r="L139" s="12" t="inlineStr">
        <x:is>
          <x:t xml:space="preserve">Verified</x:t>
        </x:is>
      </x:c>
      <x:c r="M139" s="12" t="n">
        <x:v>26</x:v>
      </x:c>
      <x:c r="N139" s="12" t="n">
        <x:v>5</x:v>
      </x:c>
      <x:c r="O139" s="12" t="inlineStr">
        <x:is>
          <x:t xml:space="preserve">Processed</x:t>
        </x:is>
      </x:c>
    </x:row>
    <x:row r="140">
      <x:c r="A140" s="5" t="inlineStr">
        <x:is>
          <x:t xml:space="preserve">EMP14888</x:t>
        </x:is>
      </x:c>
      <x:c r="B140" s="6" t="inlineStr">
        <x:is>
          <x:t xml:space="preserve">Fatima Martin</x:t>
        </x:is>
      </x:c>
      <x:c r="C140" s="6" t="inlineStr">
        <x:is>
          <x:t xml:space="preserve">Finance Ops</x:t>
        </x:is>
      </x:c>
      <x:c r="D140" s="5" t="inlineStr">
        <x:is>
          <x:t xml:space="preserve">Hyderabad</x:t>
        </x:is>
      </x:c>
      <x:c r="E140" s="36" t="n">
        <x:v>45510</x:v>
      </x:c>
      <x:c r="F140" s="38" t="n">
        <x:v>71086</x:v>
      </x:c>
      <x:c r="G140" s="38" t="n">
        <x:v>28434</x:v>
      </x:c>
      <x:c r="H140" s="38" t="n">
        <x:v>1500</x:v>
      </x:c>
      <x:c r="I140" s="38" t="n">
        <x:v>1075</x:v>
      </x:c>
      <x:c r="J140" s="39">
        <x:f>F140+G140+H140-I140</x:f>
        <x:v>99945</x:v>
      </x:c>
      <x:c r="K140" s="12" t="inlineStr">
        <x:is>
          <x:t xml:space="preserve">Active</x:t>
        </x:is>
      </x:c>
      <x:c r="L140" s="12" t="inlineStr">
        <x:is>
          <x:t xml:space="preserve">Verified</x:t>
        </x:is>
      </x:c>
      <x:c r="M140" s="12" t="n">
        <x:v>23</x:v>
      </x:c>
      <x:c r="N140" s="12" t="n">
        <x:v>4</x:v>
      </x:c>
      <x:c r="O140" s="12" t="inlineStr">
        <x:is>
          <x:t xml:space="preserve">Processed</x:t>
        </x:is>
      </x:c>
    </x:row>
    <x:row r="141">
      <x:c r="A141" s="5" t="inlineStr">
        <x:is>
          <x:t xml:space="preserve">EMP94058</x:t>
        </x:is>
      </x:c>
      <x:c r="B141" s="6" t="inlineStr">
        <x:is>
          <x:t xml:space="preserve">Charlotte Verma</x:t>
        </x:is>
      </x:c>
      <x:c r="C141" s="6" t="inlineStr">
        <x:is>
          <x:t xml:space="preserve">Finance Ops</x:t>
        </x:is>
      </x:c>
      <x:c r="D141" s="5" t="inlineStr">
        <x:is>
          <x:t xml:space="preserve">Kolkata</x:t>
        </x:is>
      </x:c>
      <x:c r="E141" s="36" t="n">
        <x:v>45042</x:v>
      </x:c>
      <x:c r="F141" s="38" t="n">
        <x:v>29382</x:v>
      </x:c>
      <x:c r="G141" s="38" t="n">
        <x:v>11753</x:v>
      </x:c>
      <x:c r="H141" s="38" t="n">
        <x:v>3000</x:v>
      </x:c>
      <x:c r="I141" s="38" t="n">
        <x:v>6989</x:v>
      </x:c>
      <x:c r="J141" s="39">
        <x:f>F141+G141+H141-I141</x:f>
        <x:v>37146</x:v>
      </x:c>
      <x:c r="K141" s="12" t="inlineStr">
        <x:is>
          <x:t xml:space="preserve">Active</x:t>
        </x:is>
      </x:c>
      <x:c r="L141" s="12" t="inlineStr">
        <x:is>
          <x:t xml:space="preserve">Pending</x:t>
        </x:is>
      </x:c>
      <x:c r="M141" s="12" t="n">
        <x:v>29</x:v>
      </x:c>
      <x:c r="N141" s="12" t="n">
        <x:v>0</x:v>
      </x:c>
      <x:c r="O141" s="12" t="inlineStr">
        <x:is>
          <x:t xml:space="preserve">Processed</x:t>
        </x:is>
      </x:c>
    </x:row>
    <x:row r="142">
      <x:c r="A142" s="5" t="inlineStr">
        <x:is>
          <x:t xml:space="preserve">EMP54185</x:t>
        </x:is>
      </x:c>
      <x:c r="B142" s="6" t="inlineStr">
        <x:is>
          <x:t xml:space="preserve">Lucas Patel</x:t>
        </x:is>
      </x:c>
      <x:c r="C142" s="6" t="inlineStr">
        <x:is>
          <x:t xml:space="preserve">Benefits Team</x:t>
        </x:is>
      </x:c>
      <x:c r="D142" s="5" t="inlineStr">
        <x:is>
          <x:t xml:space="preserve">Mumbai</x:t>
        </x:is>
      </x:c>
      <x:c r="E142" s="36" t="n">
        <x:v>45490</x:v>
      </x:c>
      <x:c r="F142" s="38" t="n">
        <x:v>43491</x:v>
      </x:c>
      <x:c r="G142" s="38" t="n">
        <x:v>15222</x:v>
      </x:c>
      <x:c r="H142" s="38" t="n">
        <x:v>9000</x:v>
      </x:c>
      <x:c r="I142" s="38" t="n">
        <x:v>6482</x:v>
      </x:c>
      <x:c r="J142" s="39">
        <x:f>F142+G142+H142-I142</x:f>
        <x:v>61231</x:v>
      </x:c>
      <x:c r="K142" s="12" t="inlineStr">
        <x:is>
          <x:t xml:space="preserve">Verified</x:t>
        </x:is>
      </x:c>
      <x:c r="L142" s="12" t="inlineStr">
        <x:is>
          <x:t xml:space="preserve">Verified</x:t>
        </x:is>
      </x:c>
      <x:c r="M142" s="12" t="n">
        <x:v>28</x:v>
      </x:c>
      <x:c r="N142" s="12" t="n">
        <x:v>7</x:v>
      </x:c>
      <x:c r="O142" s="12" t="inlineStr">
        <x:is>
          <x:t xml:space="preserve">Processed</x:t>
        </x:is>
      </x:c>
    </x:row>
    <x:row r="143">
      <x:c r="A143" s="5" t="inlineStr">
        <x:is>
          <x:t xml:space="preserve">EMP42512</x:t>
        </x:is>
      </x:c>
      <x:c r="B143" s="6" t="inlineStr">
        <x:is>
          <x:t xml:space="preserve">Aarav Jackson</x:t>
        </x:is>
      </x:c>
      <x:c r="C143" s="6" t="inlineStr">
        <x:is>
          <x:t xml:space="preserve">Risk Advisory</x:t>
        </x:is>
      </x:c>
      <x:c r="D143" s="5" t="inlineStr">
        <x:is>
          <x:t xml:space="preserve">Pune</x:t>
        </x:is>
      </x:c>
      <x:c r="E143" s="36" t="n">
        <x:v>45423</x:v>
      </x:c>
      <x:c r="F143" s="38" t="n">
        <x:v>41788</x:v>
      </x:c>
      <x:c r="G143" s="38" t="n">
        <x:v>18805</x:v>
      </x:c>
      <x:c r="H143" s="38" t="n">
        <x:v>1500</x:v>
      </x:c>
      <x:c r="I143" s="38" t="n">
        <x:v>3142</x:v>
      </x:c>
      <x:c r="J143" s="39">
        <x:f>F143+G143+H143-I143</x:f>
        <x:v>58951</x:v>
      </x:c>
      <x:c r="K143" s="12" t="inlineStr">
        <x:is>
          <x:t xml:space="preserve">Pending Verification</x:t>
        </x:is>
      </x:c>
      <x:c r="L143" s="12" t="inlineStr">
        <x:is>
          <x:t xml:space="preserve">Pending</x:t>
        </x:is>
      </x:c>
      <x:c r="M143" s="12" t="n">
        <x:v>29</x:v>
      </x:c>
      <x:c r="N143" s="12" t="n">
        <x:v>0</x:v>
      </x:c>
      <x:c r="O143" s="12" t="inlineStr">
        <x:is>
          <x:t xml:space="preserve">Processed</x:t>
        </x:is>
      </x:c>
    </x:row>
    <x:row r="144">
      <x:c r="A144" s="5" t="inlineStr">
        <x:is>
          <x:t xml:space="preserve">EMP25495</x:t>
        </x:is>
      </x:c>
      <x:c r="B144" s="6" t="inlineStr">
        <x:is>
          <x:t xml:space="preserve">Vikram Johnson</x:t>
        </x:is>
      </x:c>
      <x:c r="C144" s="6" t="inlineStr">
        <x:is>
          <x:t xml:space="preserve">Finance Ops</x:t>
        </x:is>
      </x:c>
      <x:c r="D144" s="5" t="inlineStr">
        <x:is>
          <x:t xml:space="preserve">Noida</x:t>
        </x:is>
      </x:c>
      <x:c r="E144" s="36" t="n">
        <x:v>45264</x:v>
      </x:c>
      <x:c r="F144" s="38" t="n">
        <x:v>63858</x:v>
      </x:c>
      <x:c r="G144" s="38" t="n">
        <x:v>25543</x:v>
      </x:c>
      <x:c r="H144" s="38" t="n">
        <x:v>7500</x:v>
      </x:c>
      <x:c r="I144" s="38" t="n">
        <x:v>6035</x:v>
      </x:c>
      <x:c r="J144" s="39">
        <x:f>F144+G144+H144-I144</x:f>
        <x:v>90866</x:v>
      </x:c>
      <x:c r="K144" s="12" t="inlineStr">
        <x:is>
          <x:t xml:space="preserve">Verified</x:t>
        </x:is>
      </x:c>
      <x:c r="L144" s="12" t="inlineStr">
        <x:is>
          <x:t xml:space="preserve">Verified</x:t>
        </x:is>
      </x:c>
      <x:c r="M144" s="12" t="n">
        <x:v>20</x:v>
      </x:c>
      <x:c r="N144" s="12" t="n">
        <x:v>7</x:v>
      </x:c>
      <x:c r="O144" s="12" t="inlineStr">
        <x:is>
          <x:t xml:space="preserve">Processed</x:t>
        </x:is>
      </x:c>
    </x:row>
    <x:row r="145">
      <x:c r="A145" s="5" t="inlineStr">
        <x:is>
          <x:t xml:space="preserve">EMP89395</x:t>
        </x:is>
      </x:c>
      <x:c r="B145" s="6" t="inlineStr">
        <x:is>
          <x:t xml:space="preserve">Pooja Martin</x:t>
        </x:is>
      </x:c>
      <x:c r="C145" s="6" t="inlineStr">
        <x:is>
          <x:t xml:space="preserve">Tax Support</x:t>
        </x:is>
      </x:c>
      <x:c r="D145" s="5" t="inlineStr">
        <x:is>
          <x:t xml:space="preserve">Kolkata</x:t>
        </x:is>
      </x:c>
      <x:c r="E145" s="36" t="n">
        <x:v>44673</x:v>
      </x:c>
      <x:c r="F145" s="38" t="n">
        <x:v>71462</x:v>
      </x:c>
      <x:c r="G145" s="38" t="n">
        <x:v>32158</x:v>
      </x:c>
      <x:c r="H145" s="38" t="n">
        <x:v>2500</x:v>
      </x:c>
      <x:c r="I145" s="38" t="n">
        <x:v>5304</x:v>
      </x:c>
      <x:c r="J145" s="39">
        <x:f>F145+G145+H145-I145</x:f>
        <x:v>100816</x:v>
      </x:c>
      <x:c r="K145" s="12" t="inlineStr">
        <x:is>
          <x:t xml:space="preserve">Active</x:t>
        </x:is>
      </x:c>
      <x:c r="L145" s="12" t="inlineStr">
        <x:is>
          <x:t xml:space="preserve">Pending</x:t>
        </x:is>
      </x:c>
      <x:c r="M145" s="12" t="n">
        <x:v>19</x:v>
      </x:c>
      <x:c r="N145" s="12" t="n">
        <x:v>1</x:v>
      </x:c>
      <x:c r="O145" s="12" t="inlineStr">
        <x:is>
          <x:t xml:space="preserve">Processed</x:t>
        </x:is>
      </x:c>
    </x:row>
    <x:row r="146">
      <x:c r="A146" s="5" t="inlineStr">
        <x:is>
          <x:t xml:space="preserve">EMP81781</x:t>
        </x:is>
      </x:c>
      <x:c r="B146" s="6" t="inlineStr">
        <x:is>
          <x:t xml:space="preserve">Henry Patel</x:t>
        </x:is>
      </x:c>
      <x:c r="C146" s="6" t="inlineStr">
        <x:is>
          <x:t xml:space="preserve">Tax Support</x:t>
        </x:is>
      </x:c>
      <x:c r="D146" s="5" t="inlineStr">
        <x:is>
          <x:t xml:space="preserve">Mumbai</x:t>
        </x:is>
      </x:c>
      <x:c r="E146" s="36" t="n">
        <x:v>44740</x:v>
      </x:c>
      <x:c r="F146" s="38" t="n">
        <x:v>56101</x:v>
      </x:c>
      <x:c r="G146" s="38" t="n">
        <x:v>22440</x:v>
      </x:c>
      <x:c r="H146" s="38" t="n">
        <x:v>2500</x:v>
      </x:c>
      <x:c r="I146" s="38" t="n">
        <x:v>6572</x:v>
      </x:c>
      <x:c r="J146" s="39">
        <x:f>F146+G146+H146-I146</x:f>
        <x:v>74469</x:v>
      </x:c>
      <x:c r="K146" s="12" t="inlineStr">
        <x:is>
          <x:t xml:space="preserve">Verified</x:t>
        </x:is>
      </x:c>
      <x:c r="L146" s="12" t="inlineStr">
        <x:is>
          <x:t xml:space="preserve">Pending</x:t>
        </x:is>
      </x:c>
      <x:c r="M146" s="12" t="n">
        <x:v>19</x:v>
      </x:c>
      <x:c r="N146" s="12" t="n">
        <x:v>8</x:v>
      </x:c>
      <x:c r="O146" s="12" t="inlineStr">
        <x:is>
          <x:t xml:space="preserve">Processed</x:t>
        </x:is>
      </x:c>
    </x:row>
    <x:row r="147">
      <x:c r="A147" s="5" t="inlineStr">
        <x:is>
          <x:t xml:space="preserve">EMP17292</x:t>
        </x:is>
      </x:c>
      <x:c r="B147" s="6" t="inlineStr">
        <x:is>
          <x:t xml:space="preserve">Vikram Desai</x:t>
        </x:is>
      </x:c>
      <x:c r="C147" s="6" t="inlineStr">
        <x:is>
          <x:t xml:space="preserve">Tax Support</x:t>
        </x:is>
      </x:c>
      <x:c r="D147" s="5" t="inlineStr">
        <x:is>
          <x:t xml:space="preserve">Noida</x:t>
        </x:is>
      </x:c>
      <x:c r="E147" s="36" t="n">
        <x:v>45567</x:v>
      </x:c>
      <x:c r="F147" s="38" t="n">
        <x:v>58621</x:v>
      </x:c>
      <x:c r="G147" s="38" t="n">
        <x:v>23448</x:v>
      </x:c>
      <x:c r="H147" s="38" t="n">
        <x:v>6000</x:v>
      </x:c>
      <x:c r="I147" s="38" t="n">
        <x:v>6925</x:v>
      </x:c>
      <x:c r="J147" s="39">
        <x:f>F147+G147+H147-I147</x:f>
        <x:v>81144</x:v>
      </x:c>
      <x:c r="K147" s="12" t="inlineStr">
        <x:is>
          <x:t xml:space="preserve">Verified</x:t>
        </x:is>
      </x:c>
      <x:c r="L147" s="12" t="inlineStr">
        <x:is>
          <x:t xml:space="preserve">Pending</x:t>
        </x:is>
      </x:c>
      <x:c r="M147" s="12" t="n">
        <x:v>22</x:v>
      </x:c>
      <x:c r="N147" s="12" t="n">
        <x:v>0</x:v>
      </x:c>
      <x:c r="O147" s="12" t="inlineStr">
        <x:is>
          <x:t xml:space="preserve">Processed</x:t>
        </x:is>
      </x:c>
    </x:row>
    <x:row r="148">
      <x:c r="A148" s="5" t="inlineStr">
        <x:is>
          <x:t xml:space="preserve">EMP85800</x:t>
        </x:is>
      </x:c>
      <x:c r="B148" s="6" t="inlineStr">
        <x:is>
          <x:t xml:space="preserve">Ananya Bose</x:t>
        </x:is>
      </x:c>
      <x:c r="C148" s="6" t="inlineStr">
        <x:is>
          <x:t xml:space="preserve">Risk Advisory</x:t>
        </x:is>
      </x:c>
      <x:c r="D148" s="5" t="inlineStr">
        <x:is>
          <x:t xml:space="preserve">Gurgaon</x:t>
        </x:is>
      </x:c>
      <x:c r="E148" s="36" t="n">
        <x:v>44441</x:v>
      </x:c>
      <x:c r="F148" s="38" t="n">
        <x:v>26523</x:v>
      </x:c>
      <x:c r="G148" s="38" t="n">
        <x:v>10609</x:v>
      </x:c>
      <x:c r="H148" s="38" t="n">
        <x:v>1500</x:v>
      </x:c>
      <x:c r="I148" s="38" t="n">
        <x:v>3351</x:v>
      </x:c>
      <x:c r="J148" s="39">
        <x:f>F148+G148+H148-I148</x:f>
        <x:v>35281</x:v>
      </x:c>
      <x:c r="K148" s="12" t="inlineStr">
        <x:is>
          <x:t xml:space="preserve">Active</x:t>
        </x:is>
      </x:c>
      <x:c r="L148" s="12" t="inlineStr">
        <x:is>
          <x:t xml:space="preserve">Verified</x:t>
        </x:is>
      </x:c>
      <x:c r="M148" s="12" t="n">
        <x:v>30</x:v>
      </x:c>
      <x:c r="N148" s="12" t="n">
        <x:v>0</x:v>
      </x:c>
      <x:c r="O148" s="12" t="inlineStr">
        <x:is>
          <x:t xml:space="preserve">Pending</x:t>
        </x:is>
      </x:c>
    </x:row>
    <x:row r="149">
      <x:c r="A149" s="5" t="inlineStr">
        <x:is>
          <x:t xml:space="preserve">EMP94656</x:t>
        </x:is>
      </x:c>
      <x:c r="B149" s="6" t="inlineStr">
        <x:is>
          <x:t xml:space="preserve">Rohan Kumar</x:t>
        </x:is>
      </x:c>
      <x:c r="C149" s="6" t="inlineStr">
        <x:is>
          <x:t xml:space="preserve">Risk Advisory</x:t>
        </x:is>
      </x:c>
      <x:c r="D149" s="5" t="inlineStr">
        <x:is>
          <x:t xml:space="preserve">Kolkata</x:t>
        </x:is>
      </x:c>
      <x:c r="E149" s="36" t="n">
        <x:v>45476</x:v>
      </x:c>
      <x:c r="F149" s="38" t="n">
        <x:v>66743</x:v>
      </x:c>
      <x:c r="G149" s="38" t="n">
        <x:v>30034</x:v>
      </x:c>
      <x:c r="H149" s="38" t="n">
        <x:v>3000</x:v>
      </x:c>
      <x:c r="I149" s="38" t="n">
        <x:v>1016</x:v>
      </x:c>
      <x:c r="J149" s="39">
        <x:f>F149+G149+H149-I149</x:f>
        <x:v>98761</x:v>
      </x:c>
      <x:c r="K149" s="12" t="inlineStr">
        <x:is>
          <x:t xml:space="preserve">Active</x:t>
        </x:is>
      </x:c>
      <x:c r="L149" s="12" t="inlineStr">
        <x:is>
          <x:t xml:space="preserve">Verified</x:t>
        </x:is>
      </x:c>
      <x:c r="M149" s="12" t="n">
        <x:v>20</x:v>
      </x:c>
      <x:c r="N149" s="12" t="n">
        <x:v>8</x:v>
      </x:c>
      <x:c r="O149" s="12" t="inlineStr">
        <x:is>
          <x:t xml:space="preserve">Processed</x:t>
        </x:is>
      </x:c>
    </x:row>
    <x:row r="150">
      <x:c r="A150" s="5" t="inlineStr">
        <x:is>
          <x:t xml:space="preserve">EMP26691</x:t>
        </x:is>
      </x:c>
      <x:c r="B150" s="6" t="inlineStr">
        <x:is>
          <x:t xml:space="preserve">James Thomas</x:t>
        </x:is>
      </x:c>
      <x:c r="C150" s="6" t="inlineStr">
        <x:is>
          <x:t xml:space="preserve">Payroll Ops</x:t>
        </x:is>
      </x:c>
      <x:c r="D150" s="5" t="inlineStr">
        <x:is>
          <x:t xml:space="preserve">Hyderabad</x:t>
        </x:is>
      </x:c>
      <x:c r="E150" s="36" t="n">
        <x:v>45160</x:v>
      </x:c>
      <x:c r="F150" s="38" t="n">
        <x:v>69126</x:v>
      </x:c>
      <x:c r="G150" s="38" t="n">
        <x:v>31107</x:v>
      </x:c>
      <x:c r="H150" s="38" t="n">
        <x:v>9000</x:v>
      </x:c>
      <x:c r="I150" s="38" t="n">
        <x:v>5357</x:v>
      </x:c>
      <x:c r="J150" s="39">
        <x:f>F150+G150+H150-I150</x:f>
        <x:v>103876</x:v>
      </x:c>
      <x:c r="K150" s="12" t="inlineStr">
        <x:is>
          <x:t xml:space="preserve">Active</x:t>
        </x:is>
      </x:c>
      <x:c r="L150" s="12" t="inlineStr">
        <x:is>
          <x:t xml:space="preserve">Verified</x:t>
        </x:is>
      </x:c>
      <x:c r="M150" s="12" t="n">
        <x:v>21</x:v>
      </x:c>
      <x:c r="N150" s="12" t="n">
        <x:v>7</x:v>
      </x:c>
      <x:c r="O150" s="12" t="inlineStr">
        <x:is>
          <x:t xml:space="preserve">Processed</x:t>
        </x:is>
      </x:c>
    </x:row>
    <x:row r="151">
      <x:c r="A151" s="5" t="inlineStr">
        <x:is>
          <x:t xml:space="preserve">EMP46129</x:t>
        </x:is>
      </x:c>
      <x:c r="B151" s="6" t="inlineStr">
        <x:is>
          <x:t xml:space="preserve">Henry White</x:t>
        </x:is>
      </x:c>
      <x:c r="C151" s="6" t="inlineStr">
        <x:is>
          <x:t xml:space="preserve">HR Shared Services</x:t>
        </x:is>
      </x:c>
      <x:c r="D151" s="5" t="inlineStr">
        <x:is>
          <x:t xml:space="preserve">Hyderabad</x:t>
        </x:is>
      </x:c>
      <x:c r="E151" s="36" t="n">
        <x:v>45590</x:v>
      </x:c>
      <x:c r="F151" s="38" t="n">
        <x:v>23025</x:v>
      </x:c>
      <x:c r="G151" s="38" t="n">
        <x:v>8059</x:v>
      </x:c>
      <x:c r="H151" s="38" t="n">
        <x:v>4500</x:v>
      </x:c>
      <x:c r="I151" s="38" t="n">
        <x:v>1551</x:v>
      </x:c>
      <x:c r="J151" s="39">
        <x:f>F151+G151+H151-I151</x:f>
        <x:v>34033</x:v>
      </x:c>
      <x:c r="K151" s="12" t="inlineStr">
        <x:is>
          <x:t xml:space="preserve">Verified</x:t>
        </x:is>
      </x:c>
      <x:c r="L151" s="12" t="inlineStr">
        <x:is>
          <x:t xml:space="preserve">Verified</x:t>
        </x:is>
      </x:c>
      <x:c r="M151" s="12" t="n">
        <x:v>25</x:v>
      </x:c>
      <x:c r="N151" s="12" t="n">
        <x:v>4</x:v>
      </x:c>
      <x:c r="O151" s="12" t="inlineStr">
        <x:is>
          <x:t xml:space="preserve">Processed</x:t>
        </x:is>
      </x:c>
    </x:row>
    <x:row r="152">
      <x:c r="A152" s="5" t="inlineStr">
        <x:is>
          <x:t xml:space="preserve">EMP16380</x:t>
        </x:is>
      </x:c>
      <x:c r="B152" s="6" t="inlineStr">
        <x:is>
          <x:t xml:space="preserve">Kavya Sharma</x:t>
        </x:is>
      </x:c>
      <x:c r="C152" s="6" t="inlineStr">
        <x:is>
          <x:t xml:space="preserve">Payroll Ops</x:t>
        </x:is>
      </x:c>
      <x:c r="D152" s="5" t="inlineStr">
        <x:is>
          <x:t xml:space="preserve">Noida</x:t>
        </x:is>
      </x:c>
      <x:c r="E152" s="36" t="n">
        <x:v>45400</x:v>
      </x:c>
      <x:c r="F152" s="38" t="n">
        <x:v>36238</x:v>
      </x:c>
      <x:c r="G152" s="38" t="n">
        <x:v>12683</x:v>
      </x:c>
      <x:c r="H152" s="38" t="n">
        <x:v>3000</x:v>
      </x:c>
      <x:c r="I152" s="38" t="n">
        <x:v>5127</x:v>
      </x:c>
      <x:c r="J152" s="39">
        <x:f>F152+G152+H152-I152</x:f>
        <x:v>46794</x:v>
      </x:c>
      <x:c r="K152" s="12" t="inlineStr">
        <x:is>
          <x:t xml:space="preserve">Active</x:t>
        </x:is>
      </x:c>
      <x:c r="L152" s="12" t="inlineStr">
        <x:is>
          <x:t xml:space="preserve">Verified</x:t>
        </x:is>
      </x:c>
      <x:c r="M152" s="12" t="n">
        <x:v>31</x:v>
      </x:c>
      <x:c r="N152" s="12" t="n">
        <x:v>0</x:v>
      </x:c>
      <x:c r="O152" s="12" t="inlineStr">
        <x:is>
          <x:t xml:space="preserve">Processed</x:t>
        </x:is>
      </x:c>
    </x:row>
    <x:row r="153">
      <x:c r="A153" s="5" t="inlineStr">
        <x:is>
          <x:t xml:space="preserve">EMP98150</x:t>
        </x:is>
      </x:c>
      <x:c r="B153" s="6" t="inlineStr">
        <x:is>
          <x:t xml:space="preserve">Mohammed Iyer</x:t>
        </x:is>
      </x:c>
      <x:c r="C153" s="6" t="inlineStr">
        <x:is>
          <x:t xml:space="preserve">Talent Ops</x:t>
        </x:is>
      </x:c>
      <x:c r="D153" s="5" t="inlineStr">
        <x:is>
          <x:t xml:space="preserve">Mumbai</x:t>
        </x:is>
      </x:c>
      <x:c r="E153" s="36" t="n">
        <x:v>44752</x:v>
      </x:c>
      <x:c r="F153" s="38" t="n">
        <x:v>40032</x:v>
      </x:c>
      <x:c r="G153" s="38" t="n">
        <x:v>14011</x:v>
      </x:c>
      <x:c r="H153" s="38" t="n">
        <x:v>3000</x:v>
      </x:c>
      <x:c r="I153" s="38" t="n">
        <x:v>6128</x:v>
      </x:c>
      <x:c r="J153" s="39">
        <x:f>F153+G153+H153-I153</x:f>
        <x:v>50915</x:v>
      </x:c>
      <x:c r="K153" s="12" t="inlineStr">
        <x:is>
          <x:t xml:space="preserve">Pending Verification</x:t>
        </x:is>
      </x:c>
      <x:c r="L153" s="12" t="inlineStr">
        <x:is>
          <x:t xml:space="preserve">Pending</x:t>
        </x:is>
      </x:c>
      <x:c r="M153" s="12" t="n">
        <x:v>26</x:v>
      </x:c>
      <x:c r="N153" s="12" t="n">
        <x:v>3</x:v>
      </x:c>
      <x:c r="O153" s="12" t="inlineStr">
        <x:is>
          <x:t xml:space="preserve">Processed</x:t>
        </x:is>
      </x:c>
    </x:row>
    <x:row r="154">
      <x:c r="A154" s="5" t="inlineStr">
        <x:is>
          <x:t xml:space="preserve">EMP55143</x:t>
        </x:is>
      </x:c>
      <x:c r="B154" s="6" t="inlineStr">
        <x:is>
          <x:t xml:space="preserve">Priya Taylor</x:t>
        </x:is>
      </x:c>
      <x:c r="C154" s="6" t="inlineStr">
        <x:is>
          <x:t xml:space="preserve">Tax Support</x:t>
        </x:is>
      </x:c>
      <x:c r="D154" s="5" t="inlineStr">
        <x:is>
          <x:t xml:space="preserve">Gurgaon</x:t>
        </x:is>
      </x:c>
      <x:c r="E154" s="36" t="n">
        <x:v>45478</x:v>
      </x:c>
      <x:c r="F154" s="38" t="n">
        <x:v>41653</x:v>
      </x:c>
      <x:c r="G154" s="38" t="n">
        <x:v>16661</x:v>
      </x:c>
      <x:c r="H154" s="38" t="n">
        <x:v>3000</x:v>
      </x:c>
      <x:c r="I154" s="38" t="n">
        <x:v>7180</x:v>
      </x:c>
      <x:c r="J154" s="39">
        <x:f>F154+G154+H154-I154</x:f>
        <x:v>54134</x:v>
      </x:c>
      <x:c r="K154" s="12" t="inlineStr">
        <x:is>
          <x:t xml:space="preserve">Pending Verification</x:t>
        </x:is>
      </x:c>
      <x:c r="L154" s="12" t="inlineStr">
        <x:is>
          <x:t xml:space="preserve">Pending</x:t>
        </x:is>
      </x:c>
      <x:c r="M154" s="12" t="n">
        <x:v>21</x:v>
      </x:c>
      <x:c r="N154" s="12" t="n">
        <x:v>3</x:v>
      </x:c>
      <x:c r="O154" s="12" t="inlineStr">
        <x:is>
          <x:t xml:space="preserve">Processed</x:t>
        </x:is>
      </x:c>
    </x:row>
    <x:row r="155">
      <x:c r="A155" s="5" t="inlineStr">
        <x:is>
          <x:t xml:space="preserve">EMP28920</x:t>
        </x:is>
      </x:c>
      <x:c r="B155" s="6" t="inlineStr">
        <x:is>
          <x:t xml:space="preserve">Vikram White</x:t>
        </x:is>
      </x:c>
      <x:c r="C155" s="6" t="inlineStr">
        <x:is>
          <x:t xml:space="preserve">Payroll Ops</x:t>
        </x:is>
      </x:c>
      <x:c r="D155" s="5" t="inlineStr">
        <x:is>
          <x:t xml:space="preserve">Noida</x:t>
        </x:is>
      </x:c>
      <x:c r="E155" s="36" t="n">
        <x:v>45552</x:v>
      </x:c>
      <x:c r="F155" s="38" t="n">
        <x:v>30787</x:v>
      </x:c>
      <x:c r="G155" s="38" t="n">
        <x:v>12315</x:v>
      </x:c>
      <x:c r="H155" s="38" t="n">
        <x:v>4500</x:v>
      </x:c>
      <x:c r="I155" s="38" t="n">
        <x:v>3088</x:v>
      </x:c>
      <x:c r="J155" s="39">
        <x:f>F155+G155+H155-I155</x:f>
        <x:v>44514</x:v>
      </x:c>
      <x:c r="K155" s="12" t="inlineStr">
        <x:is>
          <x:t xml:space="preserve">Verified</x:t>
        </x:is>
      </x:c>
      <x:c r="L155" s="12" t="inlineStr">
        <x:is>
          <x:t xml:space="preserve">Pending</x:t>
        </x:is>
      </x:c>
      <x:c r="M155" s="12" t="n">
        <x:v>28</x:v>
      </x:c>
      <x:c r="N155" s="12" t="n">
        <x:v>0</x:v>
      </x:c>
      <x:c r="O155" s="12" t="inlineStr">
        <x:is>
          <x:t xml:space="preserve">Pending</x:t>
        </x:is>
      </x:c>
    </x:row>
    <x:row r="156">
      <x:c r="A156" s="5" t="inlineStr">
        <x:is>
          <x:t xml:space="preserve">EMP58637</x:t>
        </x:is>
      </x:c>
      <x:c r="B156" s="6" t="inlineStr">
        <x:is>
          <x:t xml:space="preserve">Arjun Nair</x:t>
        </x:is>
      </x:c>
      <x:c r="C156" s="6" t="inlineStr">
        <x:is>
          <x:t xml:space="preserve">Benefits Team</x:t>
        </x:is>
      </x:c>
      <x:c r="D156" s="5" t="inlineStr">
        <x:is>
          <x:t xml:space="preserve">Hyderabad</x:t>
        </x:is>
      </x:c>
      <x:c r="E156" s="36" t="n">
        <x:v>45129</x:v>
      </x:c>
      <x:c r="F156" s="38" t="n">
        <x:v>61647</x:v>
      </x:c>
      <x:c r="G156" s="38" t="n">
        <x:v>27741</x:v>
      </x:c>
      <x:c r="H156" s="38" t="n">
        <x:v>1500</x:v>
      </x:c>
      <x:c r="I156" s="38" t="n">
        <x:v>1596</x:v>
      </x:c>
      <x:c r="J156" s="39">
        <x:f>F156+G156+H156-I156</x:f>
        <x:v>89292</x:v>
      </x:c>
      <x:c r="K156" s="12" t="inlineStr">
        <x:is>
          <x:t xml:space="preserve">Verified</x:t>
        </x:is>
      </x:c>
      <x:c r="L156" s="12" t="inlineStr">
        <x:is>
          <x:t xml:space="preserve">Verified</x:t>
        </x:is>
      </x:c>
      <x:c r="M156" s="12" t="n">
        <x:v>25</x:v>
      </x:c>
      <x:c r="N156" s="12" t="n">
        <x:v>1</x:v>
      </x:c>
      <x:c r="O156" s="12" t="inlineStr">
        <x:is>
          <x:t xml:space="preserve">Pending</x:t>
        </x:is>
      </x:c>
    </x:row>
    <x:row r="157">
      <x:c r="A157" s="5" t="inlineStr">
        <x:is>
          <x:t xml:space="preserve">EMP53642</x:t>
        </x:is>
      </x:c>
      <x:c r="B157" s="6" t="inlineStr">
        <x:is>
          <x:t xml:space="preserve">Meera White</x:t>
        </x:is>
      </x:c>
      <x:c r="C157" s="6" t="inlineStr">
        <x:is>
          <x:t xml:space="preserve">Payroll Ops</x:t>
        </x:is>
      </x:c>
      <x:c r="D157" s="5" t="inlineStr">
        <x:is>
          <x:t xml:space="preserve">Pune</x:t>
        </x:is>
      </x:c>
      <x:c r="E157" s="36" t="n">
        <x:v>44899</x:v>
      </x:c>
      <x:c r="F157" s="38" t="n">
        <x:v>70947</x:v>
      </x:c>
      <x:c r="G157" s="38" t="n">
        <x:v>28379</x:v>
      </x:c>
      <x:c r="H157" s="38" t="n">
        <x:v>4500</x:v>
      </x:c>
      <x:c r="I157" s="38" t="n">
        <x:v>6698</x:v>
      </x:c>
      <x:c r="J157" s="39">
        <x:f>F157+G157+H157-I157</x:f>
        <x:v>97128</x:v>
      </x:c>
      <x:c r="K157" s="12" t="inlineStr">
        <x:is>
          <x:t xml:space="preserve">Pending Verification</x:t>
        </x:is>
      </x:c>
      <x:c r="L157" s="12" t="inlineStr">
        <x:is>
          <x:t xml:space="preserve">Verified</x:t>
        </x:is>
      </x:c>
      <x:c r="M157" s="12" t="n">
        <x:v>24</x:v>
      </x:c>
      <x:c r="N157" s="12" t="n">
        <x:v>3</x:v>
      </x:c>
      <x:c r="O157" s="12" t="inlineStr">
        <x:is>
          <x:t xml:space="preserve">Processed</x:t>
        </x:is>
      </x:c>
    </x:row>
    <x:row r="158">
      <x:c r="A158" s="5" t="inlineStr">
        <x:is>
          <x:t xml:space="preserve">EMP47101</x:t>
        </x:is>
      </x:c>
      <x:c r="B158" s="6" t="inlineStr">
        <x:is>
          <x:t xml:space="preserve">Priya Mehta</x:t>
        </x:is>
      </x:c>
      <x:c r="C158" s="6" t="inlineStr">
        <x:is>
          <x:t xml:space="preserve">Tax Support</x:t>
        </x:is>
      </x:c>
      <x:c r="D158" s="5" t="inlineStr">
        <x:is>
          <x:t xml:space="preserve">Gurgaon</x:t>
        </x:is>
      </x:c>
      <x:c r="E158" s="36" t="n">
        <x:v>45058</x:v>
      </x:c>
      <x:c r="F158" s="38" t="n">
        <x:v>55607</x:v>
      </x:c>
      <x:c r="G158" s="38" t="n">
        <x:v>22243</x:v>
      </x:c>
      <x:c r="H158" s="38" t="n">
        <x:v>12000</x:v>
      </x:c>
      <x:c r="I158" s="38" t="n">
        <x:v>1807</x:v>
      </x:c>
      <x:c r="J158" s="39">
        <x:f>F158+G158+H158-I158</x:f>
        <x:v>88043</x:v>
      </x:c>
      <x:c r="K158" s="12" t="inlineStr">
        <x:is>
          <x:t xml:space="preserve">Pending Verification</x:t>
        </x:is>
      </x:c>
      <x:c r="L158" s="12" t="inlineStr">
        <x:is>
          <x:t xml:space="preserve">Verified</x:t>
        </x:is>
      </x:c>
      <x:c r="M158" s="12" t="n">
        <x:v>30</x:v>
      </x:c>
      <x:c r="N158" s="12" t="n">
        <x:v>1</x:v>
      </x:c>
      <x:c r="O158" s="12" t="inlineStr">
        <x:is>
          <x:t xml:space="preserve">Pending</x:t>
        </x:is>
      </x:c>
    </x:row>
    <x:row r="159">
      <x:c r="A159" s="5" t="inlineStr">
        <x:is>
          <x:t xml:space="preserve">EMP58589</x:t>
        </x:is>
      </x:c>
      <x:c r="B159" s="6" t="inlineStr">
        <x:is>
          <x:t xml:space="preserve">Mohammed Martin</x:t>
        </x:is>
      </x:c>
      <x:c r="C159" s="6" t="inlineStr">
        <x:is>
          <x:t xml:space="preserve">Payroll Ops</x:t>
        </x:is>
      </x:c>
      <x:c r="D159" s="5" t="inlineStr">
        <x:is>
          <x:t xml:space="preserve">Pune</x:t>
        </x:is>
      </x:c>
      <x:c r="E159" s="36" t="n">
        <x:v>44570</x:v>
      </x:c>
      <x:c r="F159" s="38" t="n">
        <x:v>58261</x:v>
      </x:c>
      <x:c r="G159" s="38" t="n">
        <x:v>26217</x:v>
      </x:c>
      <x:c r="H159" s="38" t="n">
        <x:v>9000</x:v>
      </x:c>
      <x:c r="I159" s="38" t="n">
        <x:v>3418</x:v>
      </x:c>
      <x:c r="J159" s="39">
        <x:f>F159+G159+H159-I159</x:f>
        <x:v>90060</x:v>
      </x:c>
      <x:c r="K159" s="12" t="inlineStr">
        <x:is>
          <x:t xml:space="preserve">Verified</x:t>
        </x:is>
      </x:c>
      <x:c r="L159" s="12" t="inlineStr">
        <x:is>
          <x:t xml:space="preserve">Verified</x:t>
        </x:is>
      </x:c>
      <x:c r="M159" s="12" t="n">
        <x:v>23</x:v>
      </x:c>
      <x:c r="N159" s="12" t="n">
        <x:v>3</x:v>
      </x:c>
      <x:c r="O159" s="12" t="inlineStr">
        <x:is>
          <x:t xml:space="preserve">Processed</x:t>
        </x:is>
      </x:c>
    </x:row>
    <x:row r="160">
      <x:c r="A160" s="5" t="inlineStr">
        <x:is>
          <x:t xml:space="preserve">EMP42208</x:t>
        </x:is>
      </x:c>
      <x:c r="B160" s="6" t="inlineStr">
        <x:is>
          <x:t xml:space="preserve">Charlotte Nair</x:t>
        </x:is>
      </x:c>
      <x:c r="C160" s="6" t="inlineStr">
        <x:is>
          <x:t xml:space="preserve">IT Support</x:t>
        </x:is>
      </x:c>
      <x:c r="D160" s="5" t="inlineStr">
        <x:is>
          <x:t xml:space="preserve">Chennai</x:t>
        </x:is>
      </x:c>
      <x:c r="E160" s="36" t="n">
        <x:v>45647</x:v>
      </x:c>
      <x:c r="F160" s="38" t="n">
        <x:v>70470</x:v>
      </x:c>
      <x:c r="G160" s="38" t="n">
        <x:v>28188</x:v>
      </x:c>
      <x:c r="H160" s="38" t="n">
        <x:v>12000</x:v>
      </x:c>
      <x:c r="I160" s="38" t="n">
        <x:v>2378</x:v>
      </x:c>
      <x:c r="J160" s="39">
        <x:f>F160+G160+H160-I160</x:f>
        <x:v>108280</x:v>
      </x:c>
      <x:c r="K160" s="12" t="inlineStr">
        <x:is>
          <x:t xml:space="preserve">Pending Verification</x:t>
        </x:is>
      </x:c>
      <x:c r="L160" s="12" t="inlineStr">
        <x:is>
          <x:t xml:space="preserve">Pending</x:t>
        </x:is>
      </x:c>
      <x:c r="M160" s="12" t="n">
        <x:v>20</x:v>
      </x:c>
      <x:c r="N160" s="12" t="n">
        <x:v>2</x:v>
      </x:c>
      <x:c r="O160" s="12" t="inlineStr">
        <x:is>
          <x:t xml:space="preserve">Processed</x:t>
        </x:is>
      </x:c>
    </x:row>
    <x:row r="161">
      <x:c r="A161" s="5" t="inlineStr">
        <x:is>
          <x:t xml:space="preserve">EMP74004</x:t>
        </x:is>
      </x:c>
      <x:c r="B161" s="6" t="inlineStr">
        <x:is>
          <x:t xml:space="preserve">Fatima White</x:t>
        </x:is>
      </x:c>
      <x:c r="C161" s="6" t="inlineStr">
        <x:is>
          <x:t xml:space="preserve">Tax Support</x:t>
        </x:is>
      </x:c>
      <x:c r="D161" s="5" t="inlineStr">
        <x:is>
          <x:t xml:space="preserve">Hyderabad</x:t>
        </x:is>
      </x:c>
      <x:c r="E161" s="36" t="n">
        <x:v>44254</x:v>
      </x:c>
      <x:c r="F161" s="38" t="n">
        <x:v>48408</x:v>
      </x:c>
      <x:c r="G161" s="38" t="n">
        <x:v>23027</x:v>
      </x:c>
      <x:c r="H161" s="38" t="n">
        <x:v>1500</x:v>
      </x:c>
      <x:c r="I161" s="38" t="n">
        <x:v>4378</x:v>
      </x:c>
      <x:c r="J161" s="39">
        <x:f>F161+G161+H161-I161</x:f>
        <x:v>68557</x:v>
      </x:c>
      <x:c r="K161" s="12" t="inlineStr">
        <x:is>
          <x:t xml:space="preserve">Verified</x:t>
        </x:is>
      </x:c>
      <x:c r="L161" s="12" t="inlineStr">
        <x:is>
          <x:t xml:space="preserve">Verified</x:t>
        </x:is>
      </x:c>
      <x:c r="M161" s="12" t="n">
        <x:v>19</x:v>
      </x:c>
      <x:c r="N161" s="12" t="n">
        <x:v>2</x:v>
      </x:c>
      <x:c r="O161" s="12" t="inlineStr">
        <x:is>
          <x:t xml:space="preserve">Processed</x:t>
        </x:is>
      </x:c>
    </x:row>
    <x:row r="162">
      <x:c r="A162" s="5" t="inlineStr">
        <x:is>
          <x:t xml:space="preserve">EMP76287</x:t>
        </x:is>
      </x:c>
      <x:c r="B162" s="6" t="inlineStr">
        <x:is>
          <x:t xml:space="preserve">Vikram Kumar</x:t>
        </x:is>
      </x:c>
      <x:c r="C162" s="6" t="inlineStr">
        <x:is>
          <x:t xml:space="preserve">Payroll Ops</x:t>
        </x:is>
      </x:c>
      <x:c r="D162" s="5" t="inlineStr">
        <x:is>
          <x:t xml:space="preserve">Kolkata</x:t>
        </x:is>
      </x:c>
      <x:c r="E162" s="36" t="n">
        <x:v>45292</x:v>
      </x:c>
      <x:c r="F162" s="38" t="n">
        <x:v>56879</x:v>
      </x:c>
      <x:c r="G162" s="38" t="n">
        <x:v>25596</x:v>
      </x:c>
      <x:c r="H162" s="38" t="n">
        <x:v>9000</x:v>
      </x:c>
      <x:c r="I162" s="38" t="n">
        <x:v>1097</x:v>
      </x:c>
      <x:c r="J162" s="39">
        <x:f>F162+G162+H162-I162</x:f>
        <x:v>90378</x:v>
      </x:c>
      <x:c r="K162" s="12" t="inlineStr">
        <x:is>
          <x:t xml:space="preserve">Verified</x:t>
        </x:is>
      </x:c>
      <x:c r="L162" s="12" t="inlineStr">
        <x:is>
          <x:t xml:space="preserve">Verified</x:t>
        </x:is>
      </x:c>
      <x:c r="M162" s="12" t="n">
        <x:v>26</x:v>
      </x:c>
      <x:c r="N162" s="12" t="n">
        <x:v>2</x:v>
      </x:c>
      <x:c r="O162" s="12" t="inlineStr">
        <x:is>
          <x:t xml:space="preserve">Processed</x:t>
        </x:is>
      </x:c>
    </x:row>
    <x:row r="163">
      <x:c r="A163" s="5" t="inlineStr">
        <x:is>
          <x:t xml:space="preserve">EMP98346</x:t>
        </x:is>
      </x:c>
      <x:c r="B163" s="6" t="inlineStr">
        <x:is>
          <x:t xml:space="preserve">Sneha Taylor</x:t>
        </x:is>
      </x:c>
      <x:c r="C163" s="6" t="inlineStr">
        <x:is>
          <x:t xml:space="preserve">Finance Ops</x:t>
        </x:is>
      </x:c>
      <x:c r="D163" s="5" t="inlineStr">
        <x:is>
          <x:t xml:space="preserve">Bengaluru</x:t>
        </x:is>
      </x:c>
      <x:c r="E163" s="36" t="n">
        <x:v>44444</x:v>
      </x:c>
      <x:c r="F163" s="38" t="n">
        <x:v>37792</x:v>
      </x:c>
      <x:c r="G163" s="38" t="n">
        <x:v>13227</x:v>
      </x:c>
      <x:c r="H163" s="38" t="n">
        <x:v>6000</x:v>
      </x:c>
      <x:c r="I163" s="38" t="n">
        <x:v>7678</x:v>
      </x:c>
      <x:c r="J163" s="39">
        <x:f>F163+G163+H163-I163</x:f>
        <x:v>49341</x:v>
      </x:c>
      <x:c r="K163" s="12" t="inlineStr">
        <x:is>
          <x:t xml:space="preserve">Active</x:t>
        </x:is>
      </x:c>
      <x:c r="L163" s="12" t="inlineStr">
        <x:is>
          <x:t xml:space="preserve">Pending</x:t>
        </x:is>
      </x:c>
      <x:c r="M163" s="12" t="n">
        <x:v>30</x:v>
      </x:c>
      <x:c r="N163" s="12" t="n">
        <x:v>0</x:v>
      </x:c>
      <x:c r="O163" s="12" t="inlineStr">
        <x:is>
          <x:t xml:space="preserve">Processed</x:t>
        </x:is>
      </x:c>
    </x:row>
    <x:row r="164">
      <x:c r="A164" s="5" t="inlineStr">
        <x:is>
          <x:t xml:space="preserve">EMP63218</x:t>
        </x:is>
      </x:c>
      <x:c r="B164" s="6" t="inlineStr">
        <x:is>
          <x:t xml:space="preserve">Vikram Patel</x:t>
        </x:is>
      </x:c>
      <x:c r="C164" s="6" t="inlineStr">
        <x:is>
          <x:t xml:space="preserve">Benefits Team</x:t>
        </x:is>
      </x:c>
      <x:c r="D164" s="5" t="inlineStr">
        <x:is>
          <x:t xml:space="preserve">Pune</x:t>
        </x:is>
      </x:c>
      <x:c r="E164" s="36" t="n">
        <x:v>45257</x:v>
      </x:c>
      <x:c r="F164" s="38" t="n">
        <x:v>77565</x:v>
      </x:c>
      <x:c r="G164" s="38" t="n">
        <x:v>27148</x:v>
      </x:c>
      <x:c r="H164" s="38" t="n">
        <x:v>1500</x:v>
      </x:c>
      <x:c r="I164" s="38" t="n">
        <x:v>1765</x:v>
      </x:c>
      <x:c r="J164" s="39">
        <x:f>F164+G164+H164-I164</x:f>
        <x:v>104448</x:v>
      </x:c>
      <x:c r="K164" s="12" t="inlineStr">
        <x:is>
          <x:t xml:space="preserve">Active</x:t>
        </x:is>
      </x:c>
      <x:c r="L164" s="12" t="inlineStr">
        <x:is>
          <x:t xml:space="preserve">Pending</x:t>
        </x:is>
      </x:c>
      <x:c r="M164" s="12" t="n">
        <x:v>24</x:v>
      </x:c>
      <x:c r="N164" s="12" t="n">
        <x:v>7</x:v>
      </x:c>
      <x:c r="O164" s="12" t="inlineStr">
        <x:is>
          <x:t xml:space="preserve">Processed</x:t>
        </x:is>
      </x:c>
    </x:row>
    <x:row r="165">
      <x:c r="A165" s="5" t="inlineStr">
        <x:is>
          <x:t xml:space="preserve">EMP11238</x:t>
        </x:is>
      </x:c>
      <x:c r="B165" s="6" t="inlineStr">
        <x:is>
          <x:t xml:space="preserve">Ethan Brown</x:t>
        </x:is>
      </x:c>
      <x:c r="C165" s="6" t="inlineStr">
        <x:is>
          <x:t xml:space="preserve">Audit Support</x:t>
        </x:is>
      </x:c>
      <x:c r="D165" s="5" t="inlineStr">
        <x:is>
          <x:t xml:space="preserve">Noida</x:t>
        </x:is>
      </x:c>
      <x:c r="E165" s="36" t="n">
        <x:v>45227</x:v>
      </x:c>
      <x:c r="F165" s="38" t="n">
        <x:v>28249</x:v>
      </x:c>
      <x:c r="G165" s="38" t="n">
        <x:v>12712</x:v>
      </x:c>
      <x:c r="H165" s="38" t="n">
        <x:v>1500</x:v>
      </x:c>
      <x:c r="I165" s="38" t="n">
        <x:v>2882</x:v>
      </x:c>
      <x:c r="J165" s="39">
        <x:f>F165+G165+H165-I165</x:f>
        <x:v>39579</x:v>
      </x:c>
      <x:c r="K165" s="12" t="inlineStr">
        <x:is>
          <x:t xml:space="preserve">Verified</x:t>
        </x:is>
      </x:c>
      <x:c r="L165" s="12" t="inlineStr">
        <x:is>
          <x:t xml:space="preserve">Pending</x:t>
        </x:is>
      </x:c>
      <x:c r="M165" s="12" t="n">
        <x:v>22</x:v>
      </x:c>
      <x:c r="N165" s="12" t="n">
        <x:v>0</x:v>
      </x:c>
      <x:c r="O165" s="12" t="inlineStr">
        <x:is>
          <x:t xml:space="preserve">Pending</x:t>
        </x:is>
      </x:c>
    </x:row>
    <x:row r="166">
      <x:c r="A166" s="5" t="inlineStr">
        <x:is>
          <x:t xml:space="preserve">EMP99709</x:t>
        </x:is>
      </x:c>
      <x:c r="B166" s="6" t="inlineStr">
        <x:is>
          <x:t xml:space="preserve">Liam Verma</x:t>
        </x:is>
      </x:c>
      <x:c r="C166" s="6" t="inlineStr">
        <x:is>
          <x:t xml:space="preserve">Tax Support</x:t>
        </x:is>
      </x:c>
      <x:c r="D166" s="5" t="inlineStr">
        <x:is>
          <x:t xml:space="preserve">Hyderabad</x:t>
        </x:is>
      </x:c>
      <x:c r="E166" s="36" t="n">
        <x:v>44713</x:v>
      </x:c>
      <x:c r="F166" s="38" t="n">
        <x:v>35576</x:v>
      </x:c>
      <x:c r="G166" s="38" t="n">
        <x:v>16009</x:v>
      </x:c>
      <x:c r="H166" s="38" t="n">
        <x:v>3000</x:v>
      </x:c>
      <x:c r="I166" s="38" t="n">
        <x:v>7162</x:v>
      </x:c>
      <x:c r="J166" s="39">
        <x:f>F166+G166+H166-I166</x:f>
        <x:v>47423</x:v>
      </x:c>
      <x:c r="K166" s="12" t="inlineStr">
        <x:is>
          <x:t xml:space="preserve">Pending Verification</x:t>
        </x:is>
      </x:c>
      <x:c r="L166" s="12" t="inlineStr">
        <x:is>
          <x:t xml:space="preserve">Pending</x:t>
        </x:is>
      </x:c>
      <x:c r="M166" s="12" t="n">
        <x:v>19</x:v>
      </x:c>
      <x:c r="N166" s="12" t="n">
        <x:v>4</x:v>
      </x:c>
      <x:c r="O166" s="12" t="inlineStr">
        <x:is>
          <x:t xml:space="preserve">Processed</x:t>
        </x:is>
      </x:c>
    </x:row>
    <x:row r="167">
      <x:c r="A167" s="5" t="inlineStr">
        <x:is>
          <x:t xml:space="preserve">EMP41519</x:t>
        </x:is>
      </x:c>
      <x:c r="B167" s="6" t="inlineStr">
        <x:is>
          <x:t xml:space="preserve">Priya Reddy</x:t>
        </x:is>
      </x:c>
      <x:c r="C167" s="6" t="inlineStr">
        <x:is>
          <x:t xml:space="preserve">Tax Support</x:t>
        </x:is>
      </x:c>
      <x:c r="D167" s="5" t="inlineStr">
        <x:is>
          <x:t xml:space="preserve">Gurgaon</x:t>
        </x:is>
      </x:c>
      <x:c r="E167" s="36" t="n">
        <x:v>45631</x:v>
      </x:c>
      <x:c r="F167" s="38" t="n">
        <x:v>73806</x:v>
      </x:c>
      <x:c r="G167" s="38" t="n">
        <x:v>33213</x:v>
      </x:c>
      <x:c r="H167" s="38" t="n">
        <x:v>2500</x:v>
      </x:c>
      <x:c r="I167" s="38" t="n">
        <x:v>5102</x:v>
      </x:c>
      <x:c r="J167" s="39">
        <x:f>F167+G167+H167-I167</x:f>
        <x:v>104417</x:v>
      </x:c>
      <x:c r="K167" s="12" t="inlineStr">
        <x:is>
          <x:t xml:space="preserve">Verified</x:t>
        </x:is>
      </x:c>
      <x:c r="L167" s="12" t="inlineStr">
        <x:is>
          <x:t xml:space="preserve">Pending</x:t>
        </x:is>
      </x:c>
      <x:c r="M167" s="12" t="n">
        <x:v>18</x:v>
      </x:c>
      <x:c r="N167" s="12" t="n">
        <x:v>1</x:v>
      </x:c>
      <x:c r="O167" s="12" t="inlineStr">
        <x:is>
          <x:t xml:space="preserve">Processed</x:t>
        </x:is>
      </x:c>
    </x:row>
    <x:row r="168">
      <x:c r="A168" s="5" t="inlineStr">
        <x:is>
          <x:t xml:space="preserve">EMP19963</x:t>
        </x:is>
      </x:c>
      <x:c r="B168" s="6" t="inlineStr">
        <x:is>
          <x:t xml:space="preserve">Noah Pillai</x:t>
        </x:is>
      </x:c>
      <x:c r="C168" s="6" t="inlineStr">
        <x:is>
          <x:t xml:space="preserve">Consulting Ops</x:t>
        </x:is>
      </x:c>
      <x:c r="D168" s="5" t="inlineStr">
        <x:is>
          <x:t xml:space="preserve">Noida</x:t>
        </x:is>
      </x:c>
      <x:c r="E168" s="36" t="n">
        <x:v>44947</x:v>
      </x:c>
      <x:c r="F168" s="38" t="n">
        <x:v>39912</x:v>
      </x:c>
      <x:c r="G168" s="38" t="n">
        <x:v>15965</x:v>
      </x:c>
      <x:c r="H168" s="38" t="n">
        <x:v>12000</x:v>
      </x:c>
      <x:c r="I168" s="38" t="n">
        <x:v>2868</x:v>
      </x:c>
      <x:c r="J168" s="39">
        <x:f>F168+G168+H168-I168</x:f>
        <x:v>65009</x:v>
      </x:c>
      <x:c r="K168" s="12" t="inlineStr">
        <x:is>
          <x:t xml:space="preserve">Active</x:t>
        </x:is>
      </x:c>
      <x:c r="L168" s="12" t="inlineStr">
        <x:is>
          <x:t xml:space="preserve">Pending</x:t>
        </x:is>
      </x:c>
      <x:c r="M168" s="12" t="n">
        <x:v>24</x:v>
      </x:c>
      <x:c r="N168" s="12" t="n">
        <x:v>2</x:v>
      </x:c>
      <x:c r="O168" s="12" t="inlineStr">
        <x:is>
          <x:t xml:space="preserve">Processed</x:t>
        </x:is>
      </x:c>
    </x:row>
    <x:row r="169">
      <x:c r="A169" s="5" t="inlineStr">
        <x:is>
          <x:t xml:space="preserve">EMP96595</x:t>
        </x:is>
      </x:c>
      <x:c r="B169" s="6" t="inlineStr">
        <x:is>
          <x:t xml:space="preserve">Priya Brown</x:t>
        </x:is>
      </x:c>
      <x:c r="C169" s="6" t="inlineStr">
        <x:is>
          <x:t xml:space="preserve">Consulting Ops</x:t>
        </x:is>
      </x:c>
      <x:c r="D169" s="5" t="inlineStr">
        <x:is>
          <x:t xml:space="preserve">Chennai</x:t>
        </x:is>
      </x:c>
      <x:c r="E169" s="36" t="n">
        <x:v>44898</x:v>
      </x:c>
      <x:c r="F169" s="38" t="n">
        <x:v>27376</x:v>
      </x:c>
      <x:c r="G169" s="38" t="n">
        <x:v>10950</x:v>
      </x:c>
      <x:c r="H169" s="38" t="n">
        <x:v>3000</x:v>
      </x:c>
      <x:c r="I169" s="38" t="n">
        <x:v>4112</x:v>
      </x:c>
      <x:c r="J169" s="39">
        <x:f>F169+G169+H169-I169</x:f>
        <x:v>37214</x:v>
      </x:c>
      <x:c r="K169" s="12" t="inlineStr">
        <x:is>
          <x:t xml:space="preserve">Pending Verification</x:t>
        </x:is>
      </x:c>
      <x:c r="L169" s="12" t="inlineStr">
        <x:is>
          <x:t xml:space="preserve">Verified</x:t>
        </x:is>
      </x:c>
      <x:c r="M169" s="12" t="n">
        <x:v>29</x:v>
      </x:c>
      <x:c r="N169" s="12" t="n">
        <x:v>1</x:v>
      </x:c>
      <x:c r="O169" s="12" t="inlineStr">
        <x:is>
          <x:t xml:space="preserve">Processed</x:t>
        </x:is>
      </x:c>
    </x:row>
    <x:row r="170">
      <x:c r="A170" s="5" t="inlineStr">
        <x:is>
          <x:t xml:space="preserve">EMP23965</x:t>
        </x:is>
      </x:c>
      <x:c r="B170" s="6" t="inlineStr">
        <x:is>
          <x:t xml:space="preserve">Arjun Anderson</x:t>
        </x:is>
      </x:c>
      <x:c r="C170" s="6" t="inlineStr">
        <x:is>
          <x:t xml:space="preserve">Talent Ops</x:t>
        </x:is>
      </x:c>
      <x:c r="D170" s="5" t="inlineStr">
        <x:is>
          <x:t xml:space="preserve">Kolkata</x:t>
        </x:is>
      </x:c>
      <x:c r="E170" s="36" t="n">
        <x:v>45050</x:v>
      </x:c>
      <x:c r="F170" s="38" t="n">
        <x:v>30683</x:v>
      </x:c>
      <x:c r="G170" s="38" t="n">
        <x:v>10739</x:v>
      </x:c>
      <x:c r="H170" s="38" t="n">
        <x:v>3000</x:v>
      </x:c>
      <x:c r="I170" s="38" t="n">
        <x:v>4530</x:v>
      </x:c>
      <x:c r="J170" s="39">
        <x:f>F170+G170+H170-I170</x:f>
        <x:v>39892</x:v>
      </x:c>
      <x:c r="K170" s="12" t="inlineStr">
        <x:is>
          <x:t xml:space="preserve">Active</x:t>
        </x:is>
      </x:c>
      <x:c r="L170" s="12" t="inlineStr">
        <x:is>
          <x:t xml:space="preserve">Pending</x:t>
        </x:is>
      </x:c>
      <x:c r="M170" s="12" t="n">
        <x:v>19</x:v>
      </x:c>
      <x:c r="N170" s="12" t="n">
        <x:v>0</x:v>
      </x:c>
      <x:c r="O170" s="12" t="inlineStr">
        <x:is>
          <x:t xml:space="preserve">Processed</x:t>
        </x:is>
      </x:c>
    </x:row>
    <x:row r="171">
      <x:c r="A171" s="5" t="inlineStr">
        <x:is>
          <x:t xml:space="preserve">EMP82642</x:t>
        </x:is>
      </x:c>
      <x:c r="B171" s="6" t="inlineStr">
        <x:is>
          <x:t xml:space="preserve">Arjun Pillai</x:t>
        </x:is>
      </x:c>
      <x:c r="C171" s="6" t="inlineStr">
        <x:is>
          <x:t xml:space="preserve">Consulting Ops</x:t>
        </x:is>
      </x:c>
      <x:c r="D171" s="5" t="inlineStr">
        <x:is>
          <x:t xml:space="preserve">Gurgaon</x:t>
        </x:is>
      </x:c>
      <x:c r="E171" s="36" t="n">
        <x:v>45301</x:v>
      </x:c>
      <x:c r="F171" s="38" t="n">
        <x:v>49119</x:v>
      </x:c>
      <x:c r="G171" s="38" t="n">
        <x:v>19648</x:v>
      </x:c>
      <x:c r="H171" s="38" t="n">
        <x:v>2500</x:v>
      </x:c>
      <x:c r="I171" s="38" t="n">
        <x:v>6937</x:v>
      </x:c>
      <x:c r="J171" s="39">
        <x:f>F171+G171+H171-I171</x:f>
        <x:v>64330</x:v>
      </x:c>
      <x:c r="K171" s="12" t="inlineStr">
        <x:is>
          <x:t xml:space="preserve">Pending Verification</x:t>
        </x:is>
      </x:c>
      <x:c r="L171" s="12" t="inlineStr">
        <x:is>
          <x:t xml:space="preserve">Verified</x:t>
        </x:is>
      </x:c>
      <x:c r="M171" s="12" t="n">
        <x:v>27</x:v>
      </x:c>
      <x:c r="N171" s="12" t="n">
        <x:v>4</x:v>
      </x:c>
      <x:c r="O171" s="12" t="inlineStr">
        <x:is>
          <x:t xml:space="preserve">Processed</x:t>
        </x:is>
      </x:c>
    </x:row>
    <x:row r="172">
      <x:c r="A172" s="5" t="inlineStr">
        <x:is>
          <x:t xml:space="preserve">EMP59903</x:t>
        </x:is>
      </x:c>
      <x:c r="B172" s="6" t="inlineStr">
        <x:is>
          <x:t xml:space="preserve">Ethan Desai</x:t>
        </x:is>
      </x:c>
      <x:c r="C172" s="6" t="inlineStr">
        <x:is>
          <x:t xml:space="preserve">Talent Ops</x:t>
        </x:is>
      </x:c>
      <x:c r="D172" s="5" t="inlineStr">
        <x:is>
          <x:t xml:space="preserve">Chennai</x:t>
        </x:is>
      </x:c>
      <x:c r="E172" s="36" t="n">
        <x:v>45143</x:v>
      </x:c>
      <x:c r="F172" s="38" t="n">
        <x:v>26146</x:v>
      </x:c>
      <x:c r="G172" s="38" t="n">
        <x:v>9151</x:v>
      </x:c>
      <x:c r="H172" s="38" t="n">
        <x:v>9000</x:v>
      </x:c>
      <x:c r="I172" s="38" t="n">
        <x:v>3260</x:v>
      </x:c>
      <x:c r="J172" s="39">
        <x:f>F172+G172+H172-I172</x:f>
        <x:v>41037</x:v>
      </x:c>
      <x:c r="K172" s="12" t="inlineStr">
        <x:is>
          <x:t xml:space="preserve">Active</x:t>
        </x:is>
      </x:c>
      <x:c r="L172" s="12" t="inlineStr">
        <x:is>
          <x:t xml:space="preserve">Pending</x:t>
        </x:is>
      </x:c>
      <x:c r="M172" s="12" t="n">
        <x:v>25</x:v>
      </x:c>
      <x:c r="N172" s="12" t="n">
        <x:v>6</x:v>
      </x:c>
      <x:c r="O172" s="12" t="inlineStr">
        <x:is>
          <x:t xml:space="preserve">Processed</x:t>
        </x:is>
      </x:c>
    </x:row>
    <x:row r="173">
      <x:c r="A173" s="5" t="inlineStr">
        <x:is>
          <x:t xml:space="preserve">EMP42990</x:t>
        </x:is>
      </x:c>
      <x:c r="B173" s="6" t="inlineStr">
        <x:is>
          <x:t xml:space="preserve">Kavya Sharma</x:t>
        </x:is>
      </x:c>
      <x:c r="C173" s="6" t="inlineStr">
        <x:is>
          <x:t xml:space="preserve">Audit Support</x:t>
        </x:is>
      </x:c>
      <x:c r="D173" s="5" t="inlineStr">
        <x:is>
          <x:t xml:space="preserve">Pune</x:t>
        </x:is>
      </x:c>
      <x:c r="E173" s="36" t="n">
        <x:v>45327</x:v>
      </x:c>
      <x:c r="F173" s="38" t="n">
        <x:v>41966</x:v>
      </x:c>
      <x:c r="G173" s="38" t="n">
        <x:v>14688</x:v>
      </x:c>
      <x:c r="H173" s="38" t="n">
        <x:v>9000</x:v>
      </x:c>
      <x:c r="I173" s="38" t="n">
        <x:v>3721</x:v>
      </x:c>
      <x:c r="J173" s="39">
        <x:f>F173+G173+H173-I173</x:f>
        <x:v>61933</x:v>
      </x:c>
      <x:c r="K173" s="12" t="inlineStr">
        <x:is>
          <x:t xml:space="preserve">Pending Verification</x:t>
        </x:is>
      </x:c>
      <x:c r="L173" s="12" t="inlineStr">
        <x:is>
          <x:t xml:space="preserve">Pending</x:t>
        </x:is>
      </x:c>
      <x:c r="M173" s="12" t="n">
        <x:v>30</x:v>
      </x:c>
      <x:c r="N173" s="12" t="n">
        <x:v>1</x:v>
      </x:c>
      <x:c r="O173" s="12" t="inlineStr">
        <x:is>
          <x:t xml:space="preserve">Processed</x:t>
        </x:is>
      </x:c>
    </x:row>
    <x:row r="174">
      <x:c r="A174" s="5" t="inlineStr">
        <x:is>
          <x:t xml:space="preserve">EMP66441</x:t>
        </x:is>
      </x:c>
      <x:c r="B174" s="6" t="inlineStr">
        <x:is>
          <x:t xml:space="preserve">Divya Johnson</x:t>
        </x:is>
      </x:c>
      <x:c r="C174" s="6" t="inlineStr">
        <x:is>
          <x:t xml:space="preserve">IT Support</x:t>
        </x:is>
      </x:c>
      <x:c r="D174" s="5" t="inlineStr">
        <x:is>
          <x:t xml:space="preserve">Pune</x:t>
        </x:is>
      </x:c>
      <x:c r="E174" s="36" t="n">
        <x:v>45449</x:v>
      </x:c>
      <x:c r="F174" s="38" t="n">
        <x:v>48099</x:v>
      </x:c>
      <x:c r="G174" s="38" t="n">
        <x:v>19240</x:v>
      </x:c>
      <x:c r="H174" s="38" t="n">
        <x:v>6000</x:v>
      </x:c>
      <x:c r="I174" s="38" t="n">
        <x:v>7020</x:v>
      </x:c>
      <x:c r="J174" s="39">
        <x:f>F174+G174+H174-I174</x:f>
        <x:v>66319</x:v>
      </x:c>
      <x:c r="K174" s="12" t="inlineStr">
        <x:is>
          <x:t xml:space="preserve">Pending Verification</x:t>
        </x:is>
      </x:c>
      <x:c r="L174" s="12" t="inlineStr">
        <x:is>
          <x:t xml:space="preserve">Pending</x:t>
        </x:is>
      </x:c>
      <x:c r="M174" s="12" t="n">
        <x:v>27</x:v>
      </x:c>
      <x:c r="N174" s="12" t="n">
        <x:v>1</x:v>
      </x:c>
      <x:c r="O174" s="12" t="inlineStr">
        <x:is>
          <x:t xml:space="preserve">Processed</x:t>
        </x:is>
      </x:c>
    </x:row>
    <x:row r="175">
      <x:c r="A175" s="5" t="inlineStr">
        <x:is>
          <x:t xml:space="preserve">EMP46739</x:t>
        </x:is>
      </x:c>
      <x:c r="B175" s="6" t="inlineStr">
        <x:is>
          <x:t xml:space="preserve">Ravi Kumar</x:t>
        </x:is>
      </x:c>
      <x:c r="C175" s="6" t="inlineStr">
        <x:is>
          <x:t xml:space="preserve">HR Shared Services</x:t>
        </x:is>
      </x:c>
      <x:c r="D175" s="5" t="inlineStr">
        <x:is>
          <x:t xml:space="preserve">Pune</x:t>
        </x:is>
      </x:c>
      <x:c r="E175" s="36" t="n">
        <x:v>44890</x:v>
      </x:c>
      <x:c r="F175" s="38" t="n">
        <x:v>58051</x:v>
      </x:c>
      <x:c r="G175" s="38" t="n">
        <x:v>20318</x:v>
      </x:c>
      <x:c r="H175" s="38" t="n">
        <x:v>12000</x:v>
      </x:c>
      <x:c r="I175" s="38" t="n">
        <x:v>6802</x:v>
      </x:c>
      <x:c r="J175" s="39">
        <x:f>F175+G175+H175-I175</x:f>
        <x:v>83567</x:v>
      </x:c>
      <x:c r="K175" s="12" t="inlineStr">
        <x:is>
          <x:t xml:space="preserve">Verified</x:t>
        </x:is>
      </x:c>
      <x:c r="L175" s="12" t="inlineStr">
        <x:is>
          <x:t xml:space="preserve">Pending</x:t>
        </x:is>
      </x:c>
      <x:c r="M175" s="12" t="n">
        <x:v>30</x:v>
      </x:c>
      <x:c r="N175" s="12" t="n">
        <x:v>1</x:v>
      </x:c>
      <x:c r="O175" s="12" t="inlineStr">
        <x:is>
          <x:t xml:space="preserve">Pending</x:t>
        </x:is>
      </x:c>
    </x:row>
    <x:row r="176">
      <x:c r="A176" s="5" t="inlineStr">
        <x:is>
          <x:t xml:space="preserve">EMP19064</x:t>
        </x:is>
      </x:c>
      <x:c r="B176" s="6" t="inlineStr">
        <x:is>
          <x:t xml:space="preserve">Rohan Reddy</x:t>
        </x:is>
      </x:c>
      <x:c r="C176" s="6" t="inlineStr">
        <x:is>
          <x:t xml:space="preserve">Audit Support</x:t>
        </x:is>
      </x:c>
      <x:c r="D176" s="5" t="inlineStr">
        <x:is>
          <x:t xml:space="preserve">Mumbai</x:t>
        </x:is>
      </x:c>
      <x:c r="E176" s="36" t="n">
        <x:v>45025</x:v>
      </x:c>
      <x:c r="F176" s="38" t="n">
        <x:v>65166</x:v>
      </x:c>
      <x:c r="G176" s="38" t="n">
        <x:v>22808</x:v>
      </x:c>
      <x:c r="H176" s="38" t="n">
        <x:v>9000</x:v>
      </x:c>
      <x:c r="I176" s="38" t="n">
        <x:v>7464</x:v>
      </x:c>
      <x:c r="J176" s="39">
        <x:f>F176+G176+H176-I176</x:f>
        <x:v>89510</x:v>
      </x:c>
      <x:c r="K176" s="12" t="inlineStr">
        <x:is>
          <x:t xml:space="preserve">Active</x:t>
        </x:is>
      </x:c>
      <x:c r="L176" s="12" t="inlineStr">
        <x:is>
          <x:t xml:space="preserve">Verified</x:t>
        </x:is>
      </x:c>
      <x:c r="M176" s="12" t="n">
        <x:v>25</x:v>
      </x:c>
      <x:c r="N176" s="12" t="n">
        <x:v>4</x:v>
      </x:c>
      <x:c r="O176" s="12" t="inlineStr">
        <x:is>
          <x:t xml:space="preserve">Processed</x:t>
        </x:is>
      </x:c>
    </x:row>
    <x:row r="177">
      <x:c r="A177" s="5" t="inlineStr">
        <x:is>
          <x:t xml:space="preserve">EMP62534</x:t>
        </x:is>
      </x:c>
      <x:c r="B177" s="6" t="inlineStr">
        <x:is>
          <x:t xml:space="preserve">Rohan Nair</x:t>
        </x:is>
      </x:c>
      <x:c r="C177" s="6" t="inlineStr">
        <x:is>
          <x:t xml:space="preserve">Payroll Ops</x:t>
        </x:is>
      </x:c>
      <x:c r="D177" s="5" t="inlineStr">
        <x:is>
          <x:t xml:space="preserve">Gurgaon</x:t>
        </x:is>
      </x:c>
      <x:c r="E177" s="36" t="n">
        <x:v>44252</x:v>
      </x:c>
      <x:c r="F177" s="38" t="n">
        <x:v>38268</x:v>
      </x:c>
      <x:c r="G177" s="38" t="n">
        <x:v>17221</x:v>
      </x:c>
      <x:c r="H177" s="38" t="n">
        <x:v>7500</x:v>
      </x:c>
      <x:c r="I177" s="38" t="n">
        <x:v>2362</x:v>
      </x:c>
      <x:c r="J177" s="39">
        <x:f>F177+G177+H177-I177</x:f>
        <x:v>60627</x:v>
      </x:c>
      <x:c r="K177" s="12" t="inlineStr">
        <x:is>
          <x:t xml:space="preserve">Pending Verification</x:t>
        </x:is>
      </x:c>
      <x:c r="L177" s="12" t="inlineStr">
        <x:is>
          <x:t xml:space="preserve">Verified</x:t>
        </x:is>
      </x:c>
      <x:c r="M177" s="12" t="n">
        <x:v>27</x:v>
      </x:c>
      <x:c r="N177" s="12" t="n">
        <x:v>3</x:v>
      </x:c>
      <x:c r="O177" s="12" t="inlineStr">
        <x:is>
          <x:t xml:space="preserve">Hold</x:t>
        </x:is>
      </x:c>
    </x:row>
    <x:row r="178">
      <x:c r="A178" s="5" t="inlineStr">
        <x:is>
          <x:t xml:space="preserve">EMP53463</x:t>
        </x:is>
      </x:c>
      <x:c r="B178" s="6" t="inlineStr">
        <x:is>
          <x:t xml:space="preserve">Sneha Davis</x:t>
        </x:is>
      </x:c>
      <x:c r="C178" s="6" t="inlineStr">
        <x:is>
          <x:t xml:space="preserve">Payroll Ops</x:t>
        </x:is>
      </x:c>
      <x:c r="D178" s="5" t="inlineStr">
        <x:is>
          <x:t xml:space="preserve">Bengaluru</x:t>
        </x:is>
      </x:c>
      <x:c r="E178" s="36" t="n">
        <x:v>45033</x:v>
      </x:c>
      <x:c r="F178" s="38" t="n">
        <x:v>70945</x:v>
      </x:c>
      <x:c r="G178" s="38" t="n">
        <x:v>31925</x:v>
      </x:c>
      <x:c r="H178" s="38" t="n">
        <x:v>4500</x:v>
      </x:c>
      <x:c r="I178" s="38" t="n">
        <x:v>4651</x:v>
      </x:c>
      <x:c r="J178" s="39">
        <x:f>F178+G178+H178-I178</x:f>
        <x:v>102719</x:v>
      </x:c>
      <x:c r="K178" s="12" t="inlineStr">
        <x:is>
          <x:t xml:space="preserve">Active</x:t>
        </x:is>
      </x:c>
      <x:c r="L178" s="12" t="inlineStr">
        <x:is>
          <x:t xml:space="preserve">Pending</x:t>
        </x:is>
      </x:c>
      <x:c r="M178" s="12" t="n">
        <x:v>25</x:v>
      </x:c>
      <x:c r="N178" s="12" t="n">
        <x:v>6</x:v>
      </x:c>
      <x:c r="O178" s="12" t="inlineStr">
        <x:is>
          <x:t xml:space="preserve">Processed</x:t>
        </x:is>
      </x:c>
    </x:row>
    <x:row r="179">
      <x:c r="A179" s="5" t="inlineStr">
        <x:is>
          <x:t xml:space="preserve">EMP75597</x:t>
        </x:is>
      </x:c>
      <x:c r="B179" s="6" t="inlineStr">
        <x:is>
          <x:t xml:space="preserve">Emma Kumar</x:t>
        </x:is>
      </x:c>
      <x:c r="C179" s="6" t="inlineStr">
        <x:is>
          <x:t xml:space="preserve">Payroll Ops</x:t>
        </x:is>
      </x:c>
      <x:c r="D179" s="5" t="inlineStr">
        <x:is>
          <x:t xml:space="preserve">Kolkata</x:t>
        </x:is>
      </x:c>
      <x:c r="E179" s="36" t="n">
        <x:v>44330</x:v>
      </x:c>
      <x:c r="F179" s="38" t="n">
        <x:v>27626</x:v>
      </x:c>
      <x:c r="G179" s="38" t="n">
        <x:v>9669</x:v>
      </x:c>
      <x:c r="H179" s="38" t="n">
        <x:v>3000</x:v>
      </x:c>
      <x:c r="I179" s="38" t="n">
        <x:v>3853</x:v>
      </x:c>
      <x:c r="J179" s="39">
        <x:f>F179+G179+H179-I179</x:f>
        <x:v>36442</x:v>
      </x:c>
      <x:c r="K179" s="12" t="inlineStr">
        <x:is>
          <x:t xml:space="preserve">Active</x:t>
        </x:is>
      </x:c>
      <x:c r="L179" s="12" t="inlineStr">
        <x:is>
          <x:t xml:space="preserve">Pending</x:t>
        </x:is>
      </x:c>
      <x:c r="M179" s="12" t="n">
        <x:v>25</x:v>
      </x:c>
      <x:c r="N179" s="12" t="n">
        <x:v>6</x:v>
      </x:c>
      <x:c r="O179" s="12" t="inlineStr">
        <x:is>
          <x:t xml:space="preserve">Processed</x:t>
        </x:is>
      </x:c>
    </x:row>
    <x:row r="180">
      <x:c r="A180" s="5" t="inlineStr">
        <x:is>
          <x:t xml:space="preserve">EMP73298</x:t>
        </x:is>
      </x:c>
      <x:c r="B180" s="6" t="inlineStr">
        <x:is>
          <x:t xml:space="preserve">Oliver Miller</x:t>
        </x:is>
      </x:c>
      <x:c r="C180" s="6" t="inlineStr">
        <x:is>
          <x:t xml:space="preserve">HR Shared Services</x:t>
        </x:is>
      </x:c>
      <x:c r="D180" s="5" t="inlineStr">
        <x:is>
          <x:t xml:space="preserve">Kolkata</x:t>
        </x:is>
      </x:c>
      <x:c r="E180" s="36" t="n">
        <x:v>45446</x:v>
      </x:c>
      <x:c r="F180" s="38" t="n">
        <x:v>41678</x:v>
      </x:c>
      <x:c r="G180" s="38" t="n">
        <x:v>14587</x:v>
      </x:c>
      <x:c r="H180" s="38" t="n">
        <x:v>2500</x:v>
      </x:c>
      <x:c r="I180" s="38" t="n">
        <x:v>1185</x:v>
      </x:c>
      <x:c r="J180" s="39">
        <x:f>F180+G180+H180-I180</x:f>
        <x:v>57580</x:v>
      </x:c>
      <x:c r="K180" s="12" t="inlineStr">
        <x:is>
          <x:t xml:space="preserve">Active</x:t>
        </x:is>
      </x:c>
      <x:c r="L180" s="12" t="inlineStr">
        <x:is>
          <x:t xml:space="preserve">Verified</x:t>
        </x:is>
      </x:c>
      <x:c r="M180" s="12" t="n">
        <x:v>28</x:v>
      </x:c>
      <x:c r="N180" s="12" t="n">
        <x:v>1</x:v>
      </x:c>
      <x:c r="O180" s="12" t="inlineStr">
        <x:is>
          <x:t xml:space="preserve">Pending</x:t>
        </x:is>
      </x:c>
    </x:row>
    <x:row r="181">
      <x:c r="A181" s="5" t="inlineStr">
        <x:is>
          <x:t xml:space="preserve">EMP41970</x:t>
        </x:is>
      </x:c>
      <x:c r="B181" s="6" t="inlineStr">
        <x:is>
          <x:t xml:space="preserve">Fatima Nair</x:t>
        </x:is>
      </x:c>
      <x:c r="C181" s="6" t="inlineStr">
        <x:is>
          <x:t xml:space="preserve">Finance Ops</x:t>
        </x:is>
      </x:c>
      <x:c r="D181" s="5" t="inlineStr">
        <x:is>
          <x:t xml:space="preserve">Gurgaon</x:t>
        </x:is>
      </x:c>
      <x:c r="E181" s="36" t="n">
        <x:v>45512</x:v>
      </x:c>
      <x:c r="F181" s="38" t="n">
        <x:v>74281</x:v>
      </x:c>
      <x:c r="G181" s="38" t="n">
        <x:v>29712</x:v>
      </x:c>
      <x:c r="H181" s="38" t="n">
        <x:v>3000</x:v>
      </x:c>
      <x:c r="I181" s="38" t="n">
        <x:v>2526</x:v>
      </x:c>
      <x:c r="J181" s="39">
        <x:f>F181+G181+H181-I181</x:f>
        <x:v>104467</x:v>
      </x:c>
      <x:c r="K181" s="12" t="inlineStr">
        <x:is>
          <x:t xml:space="preserve">Pending Verification</x:t>
        </x:is>
      </x:c>
      <x:c r="L181" s="12" t="inlineStr">
        <x:is>
          <x:t xml:space="preserve">Pending</x:t>
        </x:is>
      </x:c>
      <x:c r="M181" s="12" t="n">
        <x:v>24</x:v>
      </x:c>
      <x:c r="N181" s="12" t="n">
        <x:v>0</x:v>
      </x:c>
      <x:c r="O181" s="12" t="inlineStr">
        <x:is>
          <x:t xml:space="preserve">Processed</x:t>
        </x:is>
      </x:c>
    </x:row>
    <x:row r="182">
      <x:c r="A182" s="5" t="inlineStr">
        <x:is>
          <x:t xml:space="preserve">EMP35863</x:t>
        </x:is>
      </x:c>
      <x:c r="B182" s="6" t="inlineStr">
        <x:is>
          <x:t xml:space="preserve">Sophie Patel</x:t>
        </x:is>
      </x:c>
      <x:c r="C182" s="6" t="inlineStr">
        <x:is>
          <x:t xml:space="preserve">Risk Advisory</x:t>
        </x:is>
      </x:c>
      <x:c r="D182" s="5" t="inlineStr">
        <x:is>
          <x:t xml:space="preserve">Noida</x:t>
        </x:is>
      </x:c>
      <x:c r="E182" s="36" t="n">
        <x:v>44537</x:v>
      </x:c>
      <x:c r="F182" s="38" t="n">
        <x:v>35486</x:v>
      </x:c>
      <x:c r="G182" s="38" t="n">
        <x:v>14194</x:v>
      </x:c>
      <x:c r="H182" s="38" t="n">
        <x:v>2500</x:v>
      </x:c>
      <x:c r="I182" s="38" t="n">
        <x:v>5729</x:v>
      </x:c>
      <x:c r="J182" s="39">
        <x:f>F182+G182+H182-I182</x:f>
        <x:v>46451</x:v>
      </x:c>
      <x:c r="K182" s="12" t="inlineStr">
        <x:is>
          <x:t xml:space="preserve">Verified</x:t>
        </x:is>
      </x:c>
      <x:c r="L182" s="12" t="inlineStr">
        <x:is>
          <x:t xml:space="preserve">Verified</x:t>
        </x:is>
      </x:c>
      <x:c r="M182" s="12" t="n">
        <x:v>23</x:v>
      </x:c>
      <x:c r="N182" s="12" t="n">
        <x:v>5</x:v>
      </x:c>
      <x:c r="O182" s="12" t="inlineStr">
        <x:is>
          <x:t xml:space="preserve">Processed</x:t>
        </x:is>
      </x:c>
    </x:row>
    <x:row r="183">
      <x:c r="A183" s="5" t="inlineStr">
        <x:is>
          <x:t xml:space="preserve">EMP24936</x:t>
        </x:is>
      </x:c>
      <x:c r="B183" s="6" t="inlineStr">
        <x:is>
          <x:t xml:space="preserve">Kiran Reddy</x:t>
        </x:is>
      </x:c>
      <x:c r="C183" s="6" t="inlineStr">
        <x:is>
          <x:t xml:space="preserve">Audit Support</x:t>
        </x:is>
      </x:c>
      <x:c r="D183" s="5" t="inlineStr">
        <x:is>
          <x:t xml:space="preserve">Gurgaon</x:t>
        </x:is>
      </x:c>
      <x:c r="E183" s="36" t="n">
        <x:v>45578</x:v>
      </x:c>
      <x:c r="F183" s="38" t="n">
        <x:v>60469</x:v>
      </x:c>
      <x:c r="G183" s="38" t="n">
        <x:v>21164</x:v>
      </x:c>
      <x:c r="H183" s="38" t="n">
        <x:v>7500</x:v>
      </x:c>
      <x:c r="I183" s="38" t="n">
        <x:v>3883</x:v>
      </x:c>
      <x:c r="J183" s="39">
        <x:f>F183+G183+H183-I183</x:f>
        <x:v>85250</x:v>
      </x:c>
      <x:c r="K183" s="12" t="inlineStr">
        <x:is>
          <x:t xml:space="preserve">Active</x:t>
        </x:is>
      </x:c>
      <x:c r="L183" s="12" t="inlineStr">
        <x:is>
          <x:t xml:space="preserve">Verified</x:t>
        </x:is>
      </x:c>
      <x:c r="M183" s="12" t="n">
        <x:v>31</x:v>
      </x:c>
      <x:c r="N183" s="12" t="n">
        <x:v>0</x:v>
      </x:c>
      <x:c r="O183" s="12" t="inlineStr">
        <x:is>
          <x:t xml:space="preserve">Pending</x:t>
        </x:is>
      </x:c>
    </x:row>
    <x:row r="184">
      <x:c r="A184" s="5" t="inlineStr">
        <x:is>
          <x:t xml:space="preserve">EMP87354</x:t>
        </x:is>
      </x:c>
      <x:c r="B184" s="6" t="inlineStr">
        <x:is>
          <x:t xml:space="preserve">Arjun Reddy</x:t>
        </x:is>
      </x:c>
      <x:c r="C184" s="6" t="inlineStr">
        <x:is>
          <x:t xml:space="preserve">Finance Ops</x:t>
        </x:is>
      </x:c>
      <x:c r="D184" s="5" t="inlineStr">
        <x:is>
          <x:t xml:space="preserve">Gurgaon</x:t>
        </x:is>
      </x:c>
      <x:c r="E184" s="36" t="n">
        <x:v>44296</x:v>
      </x:c>
      <x:c r="F184" s="38" t="n">
        <x:v>29664</x:v>
      </x:c>
      <x:c r="G184" s="38" t="n">
        <x:v>10382</x:v>
      </x:c>
      <x:c r="H184" s="38" t="n">
        <x:v>7500</x:v>
      </x:c>
      <x:c r="I184" s="38" t="n">
        <x:v>6680</x:v>
      </x:c>
      <x:c r="J184" s="39">
        <x:f>F184+G184+H184-I184</x:f>
        <x:v>40866</x:v>
      </x:c>
      <x:c r="K184" s="12" t="inlineStr">
        <x:is>
          <x:t xml:space="preserve">Verified</x:t>
        </x:is>
      </x:c>
      <x:c r="L184" s="12" t="inlineStr">
        <x:is>
          <x:t xml:space="preserve">Pending</x:t>
        </x:is>
      </x:c>
      <x:c r="M184" s="12" t="n">
        <x:v>24</x:v>
      </x:c>
      <x:c r="N184" s="12" t="n">
        <x:v>2</x:v>
      </x:c>
      <x:c r="O184" s="12" t="inlineStr">
        <x:is>
          <x:t xml:space="preserve">Processed</x:t>
        </x:is>
      </x:c>
    </x:row>
    <x:row r="185">
      <x:c r="A185" s="5" t="inlineStr">
        <x:is>
          <x:t xml:space="preserve">EMP65448</x:t>
        </x:is>
      </x:c>
      <x:c r="B185" s="6" t="inlineStr">
        <x:is>
          <x:t xml:space="preserve">Fatima Miller</x:t>
        </x:is>
      </x:c>
      <x:c r="C185" s="6" t="inlineStr">
        <x:is>
          <x:t xml:space="preserve">Tax Support</x:t>
        </x:is>
      </x:c>
      <x:c r="D185" s="5" t="inlineStr">
        <x:is>
          <x:t xml:space="preserve">Mumbai</x:t>
        </x:is>
      </x:c>
      <x:c r="E185" s="36" t="n">
        <x:v>44783</x:v>
      </x:c>
      <x:c r="F185" s="38" t="n">
        <x:v>31194</x:v>
      </x:c>
      <x:c r="G185" s="38" t="n">
        <x:v>10918</x:v>
      </x:c>
      <x:c r="H185" s="38" t="n">
        <x:v>7500</x:v>
      </x:c>
      <x:c r="I185" s="38" t="n">
        <x:v>7897</x:v>
      </x:c>
      <x:c r="J185" s="39">
        <x:f>F185+G185+H185-I185</x:f>
        <x:v>41715</x:v>
      </x:c>
      <x:c r="K185" s="12" t="inlineStr">
        <x:is>
          <x:t xml:space="preserve">Active</x:t>
        </x:is>
      </x:c>
      <x:c r="L185" s="12" t="inlineStr">
        <x:is>
          <x:t xml:space="preserve">Verified</x:t>
        </x:is>
      </x:c>
      <x:c r="M185" s="12" t="n">
        <x:v>31</x:v>
      </x:c>
      <x:c r="N185" s="12" t="n">
        <x:v>0</x:v>
      </x:c>
      <x:c r="O185" s="12" t="inlineStr">
        <x:is>
          <x:t xml:space="preserve">Hold</x:t>
        </x:is>
      </x:c>
    </x:row>
    <x:row r="186">
      <x:c r="A186" s="5" t="inlineStr">
        <x:is>
          <x:t xml:space="preserve">EMP73518</x:t>
        </x:is>
      </x:c>
      <x:c r="B186" s="6" t="inlineStr">
        <x:is>
          <x:t xml:space="preserve">Divya Harris</x:t>
        </x:is>
      </x:c>
      <x:c r="C186" s="6" t="inlineStr">
        <x:is>
          <x:t xml:space="preserve">Risk Advisory</x:t>
        </x:is>
      </x:c>
      <x:c r="D186" s="5" t="inlineStr">
        <x:is>
          <x:t xml:space="preserve">Kolkata</x:t>
        </x:is>
      </x:c>
      <x:c r="E186" s="36" t="n">
        <x:v>45612</x:v>
      </x:c>
      <x:c r="F186" s="38" t="n">
        <x:v>49238</x:v>
      </x:c>
      <x:c r="G186" s="38" t="n">
        <x:v>22157</x:v>
      </x:c>
      <x:c r="H186" s="38" t="n">
        <x:v>12000</x:v>
      </x:c>
      <x:c r="I186" s="38" t="n">
        <x:v>5003</x:v>
      </x:c>
      <x:c r="J186" s="39">
        <x:f>F186+G186+H186-I186</x:f>
        <x:v>78392</x:v>
      </x:c>
      <x:c r="K186" s="12" t="inlineStr">
        <x:is>
          <x:t xml:space="preserve">Verified</x:t>
        </x:is>
      </x:c>
      <x:c r="L186" s="12" t="inlineStr">
        <x:is>
          <x:t xml:space="preserve">Verified</x:t>
        </x:is>
      </x:c>
      <x:c r="M186" s="12" t="n">
        <x:v>27</x:v>
      </x:c>
      <x:c r="N186" s="12" t="n">
        <x:v>0</x:v>
      </x:c>
      <x:c r="O186" s="12" t="inlineStr">
        <x:is>
          <x:t xml:space="preserve">Pending</x:t>
        </x:is>
      </x:c>
    </x:row>
    <x:row r="187">
      <x:c r="A187" s="5" t="inlineStr">
        <x:is>
          <x:t xml:space="preserve">EMP38905</x:t>
        </x:is>
      </x:c>
      <x:c r="B187" s="6" t="inlineStr">
        <x:is>
          <x:t xml:space="preserve">Lucas Bose</x:t>
        </x:is>
      </x:c>
      <x:c r="C187" s="6" t="inlineStr">
        <x:is>
          <x:t xml:space="preserve">Talent Ops</x:t>
        </x:is>
      </x:c>
      <x:c r="D187" s="5" t="inlineStr">
        <x:is>
          <x:t xml:space="preserve">Pune</x:t>
        </x:is>
      </x:c>
      <x:c r="E187" s="36" t="n">
        <x:v>45010</x:v>
      </x:c>
      <x:c r="F187" s="38" t="n">
        <x:v>51971</x:v>
      </x:c>
      <x:c r="G187" s="38" t="n">
        <x:v>23387</x:v>
      </x:c>
      <x:c r="H187" s="38" t="n">
        <x:v>12000</x:v>
      </x:c>
      <x:c r="I187" s="38" t="n">
        <x:v>5503</x:v>
      </x:c>
      <x:c r="J187" s="39">
        <x:f>F187+G187+H187-I187</x:f>
        <x:v>81855</x:v>
      </x:c>
      <x:c r="K187" s="12" t="inlineStr">
        <x:is>
          <x:t xml:space="preserve">Pending Verification</x:t>
        </x:is>
      </x:c>
      <x:c r="L187" s="12" t="inlineStr">
        <x:is>
          <x:t xml:space="preserve">Verified</x:t>
        </x:is>
      </x:c>
      <x:c r="M187" s="12" t="n">
        <x:v>27</x:v>
      </x:c>
      <x:c r="N187" s="12" t="n">
        <x:v>0</x:v>
      </x:c>
      <x:c r="O187" s="12" t="inlineStr">
        <x:is>
          <x:t xml:space="preserve">Processed</x:t>
        </x:is>
      </x:c>
    </x:row>
    <x:row r="188">
      <x:c r="A188" s="5" t="inlineStr">
        <x:is>
          <x:t xml:space="preserve">EMP81186</x:t>
        </x:is>
      </x:c>
      <x:c r="B188" s="6" t="inlineStr">
        <x:is>
          <x:t xml:space="preserve">Pooja Nair</x:t>
        </x:is>
      </x:c>
      <x:c r="C188" s="6" t="inlineStr">
        <x:is>
          <x:t xml:space="preserve">Payroll Ops</x:t>
        </x:is>
      </x:c>
      <x:c r="D188" s="5" t="inlineStr">
        <x:is>
          <x:t xml:space="preserve">Kolkata</x:t>
        </x:is>
      </x:c>
      <x:c r="E188" s="36" t="n">
        <x:v>44746</x:v>
      </x:c>
      <x:c r="F188" s="38" t="n">
        <x:v>70233</x:v>
      </x:c>
      <x:c r="G188" s="38" t="n">
        <x:v>31605</x:v>
      </x:c>
      <x:c r="H188" s="38" t="n">
        <x:v>4500</x:v>
      </x:c>
      <x:c r="I188" s="38" t="n">
        <x:v>3438</x:v>
      </x:c>
      <x:c r="J188" s="39">
        <x:f>F188+G188+H188-I188</x:f>
        <x:v>102900</x:v>
      </x:c>
      <x:c r="K188" s="12" t="inlineStr">
        <x:is>
          <x:t xml:space="preserve">Verified</x:t>
        </x:is>
      </x:c>
      <x:c r="L188" s="12" t="inlineStr">
        <x:is>
          <x:t xml:space="preserve">Pending</x:t>
        </x:is>
      </x:c>
      <x:c r="M188" s="12" t="n">
        <x:v>22</x:v>
      </x:c>
      <x:c r="N188" s="12" t="n">
        <x:v>5</x:v>
      </x:c>
      <x:c r="O188" s="12" t="inlineStr">
        <x:is>
          <x:t xml:space="preserve">Pending</x:t>
        </x:is>
      </x:c>
    </x:row>
    <x:row r="189">
      <x:c r="A189" s="5" t="inlineStr">
        <x:is>
          <x:t xml:space="preserve">EMP21401</x:t>
        </x:is>
      </x:c>
      <x:c r="B189" s="6" t="inlineStr">
        <x:is>
          <x:t xml:space="preserve">Sophie Thompson</x:t>
        </x:is>
      </x:c>
      <x:c r="C189" s="6" t="inlineStr">
        <x:is>
          <x:t xml:space="preserve">HR Shared Services</x:t>
        </x:is>
      </x:c>
      <x:c r="D189" s="5" t="inlineStr">
        <x:is>
          <x:t xml:space="preserve">Pune</x:t>
        </x:is>
      </x:c>
      <x:c r="E189" s="36" t="n">
        <x:v>44914</x:v>
      </x:c>
      <x:c r="F189" s="38" t="n">
        <x:v>67163</x:v>
      </x:c>
      <x:c r="G189" s="38" t="n">
        <x:v>26865</x:v>
      </x:c>
      <x:c r="H189" s="38" t="n">
        <x:v>9000</x:v>
      </x:c>
      <x:c r="I189" s="38" t="n">
        <x:v>2359</x:v>
      </x:c>
      <x:c r="J189" s="39">
        <x:f>F189+G189+H189-I189</x:f>
        <x:v>100669</x:v>
      </x:c>
      <x:c r="K189" s="12" t="inlineStr">
        <x:is>
          <x:t xml:space="preserve">Pending Verification</x:t>
        </x:is>
      </x:c>
      <x:c r="L189" s="12" t="inlineStr">
        <x:is>
          <x:t xml:space="preserve">Verified</x:t>
        </x:is>
      </x:c>
      <x:c r="M189" s="12" t="n">
        <x:v>30</x:v>
      </x:c>
      <x:c r="N189" s="12" t="n">
        <x:v>0</x:v>
      </x:c>
      <x:c r="O189" s="12" t="inlineStr">
        <x:is>
          <x:t xml:space="preserve">Pending</x:t>
        </x:is>
      </x:c>
    </x:row>
    <x:row r="190">
      <x:c r="A190" s="5" t="inlineStr">
        <x:is>
          <x:t xml:space="preserve">EMP17780</x:t>
        </x:is>
      </x:c>
      <x:c r="B190" s="6" t="inlineStr">
        <x:is>
          <x:t xml:space="preserve">Oliver Nair</x:t>
        </x:is>
      </x:c>
      <x:c r="C190" s="6" t="inlineStr">
        <x:is>
          <x:t xml:space="preserve">Talent Ops</x:t>
        </x:is>
      </x:c>
      <x:c r="D190" s="5" t="inlineStr">
        <x:is>
          <x:t xml:space="preserve">Mumbai</x:t>
        </x:is>
      </x:c>
      <x:c r="E190" s="36" t="n">
        <x:v>45270</x:v>
      </x:c>
      <x:c r="F190" s="38" t="n">
        <x:v>40961</x:v>
      </x:c>
      <x:c r="G190" s="38" t="n">
        <x:v>18432</x:v>
      </x:c>
      <x:c r="H190" s="38" t="n">
        <x:v>6000</x:v>
      </x:c>
      <x:c r="I190" s="38" t="n">
        <x:v>5214</x:v>
      </x:c>
      <x:c r="J190" s="39">
        <x:f>F190+G190+H190-I190</x:f>
        <x:v>60179</x:v>
      </x:c>
      <x:c r="K190" s="12" t="inlineStr">
        <x:is>
          <x:t xml:space="preserve">Pending Verification</x:t>
        </x:is>
      </x:c>
      <x:c r="L190" s="12" t="inlineStr">
        <x:is>
          <x:t xml:space="preserve">Verified</x:t>
        </x:is>
      </x:c>
      <x:c r="M190" s="12" t="n">
        <x:v>20</x:v>
      </x:c>
      <x:c r="N190" s="12" t="n">
        <x:v>6</x:v>
      </x:c>
      <x:c r="O190" s="12" t="inlineStr">
        <x:is>
          <x:t xml:space="preserve">Pending</x:t>
        </x:is>
      </x:c>
    </x:row>
    <x:row r="191">
      <x:c r="A191" s="5" t="inlineStr">
        <x:is>
          <x:t xml:space="preserve">EMP46349</x:t>
        </x:is>
      </x:c>
      <x:c r="B191" s="6" t="inlineStr">
        <x:is>
          <x:t xml:space="preserve">Divya Shah</x:t>
        </x:is>
      </x:c>
      <x:c r="C191" s="6" t="inlineStr">
        <x:is>
          <x:t xml:space="preserve">Finance Ops</x:t>
        </x:is>
      </x:c>
      <x:c r="D191" s="5" t="inlineStr">
        <x:is>
          <x:t xml:space="preserve">Pune</x:t>
        </x:is>
      </x:c>
      <x:c r="E191" s="36" t="n">
        <x:v>44906</x:v>
      </x:c>
      <x:c r="F191" s="38" t="n">
        <x:v>46142</x:v>
      </x:c>
      <x:c r="G191" s="38" t="n">
        <x:v>26703</x:v>
      </x:c>
      <x:c r="H191" s="38" t="n">
        <x:v>9000</x:v>
      </x:c>
      <x:c r="I191" s="38" t="n">
        <x:v>5009</x:v>
      </x:c>
      <x:c r="J191" s="39">
        <x:f>F191+G191+H191-I191</x:f>
        <x:v>76836</x:v>
      </x:c>
      <x:c r="K191" s="12" t="inlineStr">
        <x:is>
          <x:t xml:space="preserve">Verified</x:t>
        </x:is>
      </x:c>
      <x:c r="L191" s="12" t="inlineStr">
        <x:is>
          <x:t xml:space="preserve">Pending</x:t>
        </x:is>
      </x:c>
      <x:c r="M191" s="12" t="n">
        <x:v>28</x:v>
      </x:c>
      <x:c r="N191" s="12" t="n">
        <x:v>3</x:v>
      </x:c>
      <x:c r="O191" s="12" t="inlineStr">
        <x:is>
          <x:t xml:space="preserve">Processed</x:t>
        </x:is>
      </x:c>
    </x:row>
    <x:row r="192">
      <x:c r="A192" s="5" t="inlineStr">
        <x:is>
          <x:t xml:space="preserve">EMP19898</x:t>
        </x:is>
      </x:c>
      <x:c r="B192" s="6" t="inlineStr">
        <x:is>
          <x:t xml:space="preserve">Arjun Lee</x:t>
        </x:is>
      </x:c>
      <x:c r="C192" s="6" t="inlineStr">
        <x:is>
          <x:t xml:space="preserve">Tax Support</x:t>
        </x:is>
      </x:c>
      <x:c r="D192" s="5" t="inlineStr">
        <x:is>
          <x:t xml:space="preserve">Chennai</x:t>
        </x:is>
      </x:c>
      <x:c r="E192" s="36" t="n">
        <x:v>45154</x:v>
      </x:c>
      <x:c r="F192" s="38" t="n">
        <x:v>43449</x:v>
      </x:c>
      <x:c r="G192" s="38" t="n">
        <x:v>19552</x:v>
      </x:c>
      <x:c r="H192" s="38" t="n">
        <x:v>1500</x:v>
      </x:c>
      <x:c r="I192" s="38" t="n">
        <x:v>7341</x:v>
      </x:c>
      <x:c r="J192" s="39">
        <x:f>F192+G192+H192-I192</x:f>
        <x:v>57160</x:v>
      </x:c>
      <x:c r="K192" s="12" t="inlineStr">
        <x:is>
          <x:t xml:space="preserve">Pending Verification</x:t>
        </x:is>
      </x:c>
      <x:c r="L192" s="12" t="inlineStr">
        <x:is>
          <x:t xml:space="preserve">Verified</x:t>
        </x:is>
      </x:c>
      <x:c r="M192" s="12" t="n">
        <x:v>29</x:v>
      </x:c>
      <x:c r="N192" s="12" t="n">
        <x:v>1</x:v>
      </x:c>
      <x:c r="O192" s="12" t="inlineStr">
        <x:is>
          <x:t xml:space="preserve">Processed</x:t>
        </x:is>
      </x:c>
    </x:row>
    <x:row r="193">
      <x:c r="A193" s="5" t="inlineStr">
        <x:is>
          <x:t xml:space="preserve">EMP56952</x:t>
        </x:is>
      </x:c>
      <x:c r="B193" s="6" t="inlineStr">
        <x:is>
          <x:t xml:space="preserve">Ananya Taylor</x:t>
        </x:is>
      </x:c>
      <x:c r="C193" s="6" t="inlineStr">
        <x:is>
          <x:t xml:space="preserve">Tax Support</x:t>
        </x:is>
      </x:c>
      <x:c r="D193" s="5" t="inlineStr">
        <x:is>
          <x:t xml:space="preserve">Noida</x:t>
        </x:is>
      </x:c>
      <x:c r="E193" s="36" t="n">
        <x:v>44769</x:v>
      </x:c>
      <x:c r="F193" s="38" t="n">
        <x:v>35883</x:v>
      </x:c>
      <x:c r="G193" s="38" t="n">
        <x:v>14353</x:v>
      </x:c>
      <x:c r="H193" s="38" t="n">
        <x:v>6000</x:v>
      </x:c>
      <x:c r="I193" s="38" t="n">
        <x:v>3644</x:v>
      </x:c>
      <x:c r="J193" s="39">
        <x:f>F193+G193+H193-I193</x:f>
        <x:v>52592</x:v>
      </x:c>
      <x:c r="K193" s="12" t="inlineStr">
        <x:is>
          <x:t xml:space="preserve">Active</x:t>
        </x:is>
      </x:c>
      <x:c r="L193" s="12" t="inlineStr">
        <x:is>
          <x:t xml:space="preserve">Pending</x:t>
        </x:is>
      </x:c>
      <x:c r="M193" s="12" t="n">
        <x:v>26</x:v>
      </x:c>
      <x:c r="N193" s="12" t="n">
        <x:v>4</x:v>
      </x:c>
      <x:c r="O193" s="12" t="inlineStr">
        <x:is>
          <x:t xml:space="preserve">Processed</x:t>
        </x:is>
      </x:c>
    </x:row>
    <x:row r="194">
      <x:c r="A194" s="5" t="inlineStr">
        <x:is>
          <x:t xml:space="preserve">EMP73614</x:t>
        </x:is>
      </x:c>
      <x:c r="B194" s="6" t="inlineStr">
        <x:is>
          <x:t xml:space="preserve">Noah Verma</x:t>
        </x:is>
      </x:c>
      <x:c r="C194" s="6" t="inlineStr">
        <x:is>
          <x:t xml:space="preserve">Payroll Ops</x:t>
        </x:is>
      </x:c>
      <x:c r="D194" s="5" t="inlineStr">
        <x:is>
          <x:t xml:space="preserve">Hyderabad</x:t>
        </x:is>
      </x:c>
      <x:c r="E194" s="36" t="n">
        <x:v>44526</x:v>
      </x:c>
      <x:c r="F194" s="38" t="n">
        <x:v>76834</x:v>
      </x:c>
      <x:c r="G194" s="38" t="n">
        <x:v>30734</x:v>
      </x:c>
      <x:c r="H194" s="38" t="n">
        <x:v>1500</x:v>
      </x:c>
      <x:c r="I194" s="38" t="n">
        <x:v>2017</x:v>
      </x:c>
      <x:c r="J194" s="39">
        <x:f>F194+G194+H194-I194</x:f>
        <x:v>107051</x:v>
      </x:c>
      <x:c r="K194" s="12" t="inlineStr">
        <x:is>
          <x:t xml:space="preserve">Verified</x:t>
        </x:is>
      </x:c>
      <x:c r="L194" s="12" t="inlineStr">
        <x:is>
          <x:t xml:space="preserve">Pending</x:t>
        </x:is>
      </x:c>
      <x:c r="M194" s="12" t="n">
        <x:v>25</x:v>
      </x:c>
      <x:c r="N194" s="12" t="n">
        <x:v>0</x:v>
      </x:c>
      <x:c r="O194" s="12" t="inlineStr">
        <x:is>
          <x:t xml:space="preserve">Pending</x:t>
        </x:is>
      </x:c>
    </x:row>
    <x:row r="195">
      <x:c r="A195" s="5" t="inlineStr">
        <x:is>
          <x:t xml:space="preserve">EMP66072</x:t>
        </x:is>
      </x:c>
      <x:c r="B195" s="6" t="inlineStr">
        <x:is>
          <x:t xml:space="preserve">Henry Shah</x:t>
        </x:is>
      </x:c>
      <x:c r="C195" s="6" t="inlineStr">
        <x:is>
          <x:t xml:space="preserve">Finance Ops</x:t>
        </x:is>
      </x:c>
      <x:c r="D195" s="5" t="inlineStr">
        <x:is>
          <x:t xml:space="preserve">Chennai</x:t>
        </x:is>
      </x:c>
      <x:c r="E195" s="36" t="n">
        <x:v>44684</x:v>
      </x:c>
      <x:c r="F195" s="38" t="n">
        <x:v>64899</x:v>
      </x:c>
      <x:c r="G195" s="38" t="n">
        <x:v>25960</x:v>
      </x:c>
      <x:c r="H195" s="38" t="n">
        <x:v>6000</x:v>
      </x:c>
      <x:c r="I195" s="38" t="n">
        <x:v>1675</x:v>
      </x:c>
      <x:c r="J195" s="39">
        <x:f>F195+G195+H195-I195</x:f>
        <x:v>95184</x:v>
      </x:c>
      <x:c r="K195" s="12" t="inlineStr">
        <x:is>
          <x:t xml:space="preserve">Active</x:t>
        </x:is>
      </x:c>
      <x:c r="L195" s="12" t="inlineStr">
        <x:is>
          <x:t xml:space="preserve">Verified</x:t>
        </x:is>
      </x:c>
      <x:c r="M195" s="12" t="n">
        <x:v>18</x:v>
      </x:c>
      <x:c r="N195" s="12" t="n">
        <x:v>6</x:v>
      </x:c>
      <x:c r="O195" s="12" t="inlineStr">
        <x:is>
          <x:t xml:space="preserve">Processed</x:t>
        </x:is>
      </x:c>
    </x:row>
    <x:row r="196">
      <x:c r="A196" s="5" t="inlineStr">
        <x:is>
          <x:t xml:space="preserve">EMP40689</x:t>
        </x:is>
      </x:c>
      <x:c r="B196" s="6" t="inlineStr">
        <x:is>
          <x:t xml:space="preserve">Sneha Rao</x:t>
        </x:is>
      </x:c>
      <x:c r="C196" s="6" t="inlineStr">
        <x:is>
          <x:t xml:space="preserve">HR Shared Services</x:t>
        </x:is>
      </x:c>
      <x:c r="D196" s="5" t="inlineStr">
        <x:is>
          <x:t xml:space="preserve">Bengaluru</x:t>
        </x:is>
      </x:c>
      <x:c r="E196" s="36" t="n">
        <x:v>44302</x:v>
      </x:c>
      <x:c r="F196" s="38" t="n">
        <x:v>27107</x:v>
      </x:c>
      <x:c r="G196" s="38" t="n">
        <x:v>9487</x:v>
      </x:c>
      <x:c r="H196" s="38" t="n">
        <x:v>4500</x:v>
      </x:c>
      <x:c r="I196" s="38" t="n">
        <x:v>5255</x:v>
      </x:c>
      <x:c r="J196" s="39">
        <x:f>F196+G196+H196-I196</x:f>
        <x:v>35839</x:v>
      </x:c>
      <x:c r="K196" s="12" t="inlineStr">
        <x:is>
          <x:t xml:space="preserve">Pending Verification</x:t>
        </x:is>
      </x:c>
      <x:c r="L196" s="12" t="inlineStr">
        <x:is>
          <x:t xml:space="preserve">Pending</x:t>
        </x:is>
      </x:c>
      <x:c r="M196" s="12" t="n">
        <x:v>18</x:v>
      </x:c>
      <x:c r="N196" s="12" t="n">
        <x:v>0</x:v>
      </x:c>
      <x:c r="O196" s="12" t="inlineStr">
        <x:is>
          <x:t xml:space="preserve">Processed</x:t>
        </x:is>
      </x:c>
    </x:row>
    <x:row r="197">
      <x:c r="A197" s="5" t="inlineStr">
        <x:is>
          <x:t xml:space="preserve">EMP25806</x:t>
        </x:is>
      </x:c>
      <x:c r="B197" s="6" t="inlineStr">
        <x:is>
          <x:t xml:space="preserve">Sneha Shah</x:t>
        </x:is>
      </x:c>
      <x:c r="C197" s="6" t="inlineStr">
        <x:is>
          <x:t xml:space="preserve">Finance Ops</x:t>
        </x:is>
      </x:c>
      <x:c r="D197" s="5" t="inlineStr">
        <x:is>
          <x:t xml:space="preserve">Kolkata</x:t>
        </x:is>
      </x:c>
      <x:c r="E197" s="36" t="n">
        <x:v>44299</x:v>
      </x:c>
      <x:c r="F197" s="38" t="n">
        <x:v>27854</x:v>
      </x:c>
      <x:c r="G197" s="38" t="n">
        <x:v>12534</x:v>
      </x:c>
      <x:c r="H197" s="38" t="n">
        <x:v>2500</x:v>
      </x:c>
      <x:c r="I197" s="38" t="n">
        <x:v>1845</x:v>
      </x:c>
      <x:c r="J197" s="39">
        <x:f>F197+G197+H197-I197</x:f>
        <x:v>41043</x:v>
      </x:c>
      <x:c r="K197" s="12" t="inlineStr">
        <x:is>
          <x:t xml:space="preserve">Active</x:t>
        </x:is>
      </x:c>
      <x:c r="L197" s="12" t="inlineStr">
        <x:is>
          <x:t xml:space="preserve">Pending</x:t>
        </x:is>
      </x:c>
      <x:c r="M197" s="12" t="n">
        <x:v>22</x:v>
      </x:c>
      <x:c r="N197" s="12" t="n">
        <x:v>2</x:v>
      </x:c>
      <x:c r="O197" s="12" t="inlineStr">
        <x:is>
          <x:t xml:space="preserve">Processed</x:t>
        </x:is>
      </x:c>
    </x:row>
    <x:row r="198">
      <x:c r="A198" s="5" t="inlineStr">
        <x:is>
          <x:t xml:space="preserve">EMP27451</x:t>
        </x:is>
      </x:c>
      <x:c r="B198" s="6" t="inlineStr">
        <x:is>
          <x:t xml:space="preserve">Emma Brown</x:t>
        </x:is>
      </x:c>
      <x:c r="C198" s="6" t="inlineStr">
        <x:is>
          <x:t xml:space="preserve">Tax Support</x:t>
        </x:is>
      </x:c>
      <x:c r="D198" s="5" t="inlineStr">
        <x:is>
          <x:t xml:space="preserve">Hyderabad</x:t>
        </x:is>
      </x:c>
      <x:c r="E198" s="36" t="n">
        <x:v>44785</x:v>
      </x:c>
      <x:c r="F198" s="38" t="n">
        <x:v>69345</x:v>
      </x:c>
      <x:c r="G198" s="38" t="n">
        <x:v>24271</x:v>
      </x:c>
      <x:c r="H198" s="38" t="n">
        <x:v>3000</x:v>
      </x:c>
      <x:c r="I198" s="38" t="n">
        <x:v>4372</x:v>
      </x:c>
      <x:c r="J198" s="39">
        <x:f>F198+G198+H198-I198</x:f>
        <x:v>92244</x:v>
      </x:c>
      <x:c r="K198" s="12" t="inlineStr">
        <x:is>
          <x:t xml:space="preserve">Pending Verification</x:t>
        </x:is>
      </x:c>
      <x:c r="L198" s="12" t="inlineStr">
        <x:is>
          <x:t xml:space="preserve">Pending</x:t>
        </x:is>
      </x:c>
      <x:c r="M198" s="12" t="n">
        <x:v>31</x:v>
      </x:c>
      <x:c r="N198" s="12" t="n">
        <x:v>0</x:v>
      </x:c>
      <x:c r="O198" s="12" t="inlineStr">
        <x:is>
          <x:t xml:space="preserve">Processed</x:t>
        </x:is>
      </x:c>
    </x:row>
    <x:row r="199">
      <x:c r="A199" s="5" t="inlineStr">
        <x:is>
          <x:t xml:space="preserve">EMP23168</x:t>
        </x:is>
      </x:c>
      <x:c r="B199" s="6" t="inlineStr">
        <x:is>
          <x:t xml:space="preserve">Divya Singh</x:t>
        </x:is>
      </x:c>
      <x:c r="C199" s="6" t="inlineStr">
        <x:is>
          <x:t xml:space="preserve">HR Shared Services</x:t>
        </x:is>
      </x:c>
      <x:c r="D199" s="5" t="inlineStr">
        <x:is>
          <x:t xml:space="preserve">Noida</x:t>
        </x:is>
      </x:c>
      <x:c r="E199" s="36" t="n">
        <x:v>45118</x:v>
      </x:c>
      <x:c r="F199" s="38" t="n">
        <x:v>73844</x:v>
      </x:c>
      <x:c r="G199" s="38" t="n">
        <x:v>25845</x:v>
      </x:c>
      <x:c r="H199" s="38" t="n">
        <x:v>4500</x:v>
      </x:c>
      <x:c r="I199" s="38" t="n">
        <x:v>3268</x:v>
      </x:c>
      <x:c r="J199" s="39">
        <x:f>F199+G199+H199-I199</x:f>
        <x:v>100921</x:v>
      </x:c>
      <x:c r="K199" s="12" t="inlineStr">
        <x:is>
          <x:t xml:space="preserve">Pending Verification</x:t>
        </x:is>
      </x:c>
      <x:c r="L199" s="12" t="inlineStr">
        <x:is>
          <x:t xml:space="preserve">Verified</x:t>
        </x:is>
      </x:c>
      <x:c r="M199" s="12" t="n">
        <x:v>21</x:v>
      </x:c>
      <x:c r="N199" s="12" t="n">
        <x:v>8</x:v>
      </x:c>
      <x:c r="O199" s="12" t="inlineStr">
        <x:is>
          <x:t xml:space="preserve">Processed</x:t>
        </x:is>
      </x:c>
    </x:row>
    <x:row r="200">
      <x:c r="A200" s="5" t="inlineStr">
        <x:is>
          <x:t xml:space="preserve">EMP89638</x:t>
        </x:is>
      </x:c>
      <x:c r="B200" s="6" t="inlineStr">
        <x:is>
          <x:t xml:space="preserve">Lucas Singh</x:t>
        </x:is>
      </x:c>
      <x:c r="C200" s="6" t="inlineStr">
        <x:is>
          <x:t xml:space="preserve">Payroll Ops</x:t>
        </x:is>
      </x:c>
      <x:c r="D200" s="5" t="inlineStr">
        <x:is>
          <x:t xml:space="preserve">Chennai</x:t>
        </x:is>
      </x:c>
      <x:c r="E200" s="36" t="n">
        <x:v>44824</x:v>
      </x:c>
      <x:c r="F200" s="38" t="n">
        <x:v>55392</x:v>
      </x:c>
      <x:c r="G200" s="38" t="n">
        <x:v>19387</x:v>
      </x:c>
      <x:c r="H200" s="38" t="n">
        <x:v>9000</x:v>
      </x:c>
      <x:c r="I200" s="38" t="n">
        <x:v>3421</x:v>
      </x:c>
      <x:c r="J200" s="39">
        <x:f>F200+G200+H200-I200</x:f>
        <x:v>80358</x:v>
      </x:c>
      <x:c r="K200" s="12" t="inlineStr">
        <x:is>
          <x:t xml:space="preserve">Pending Verification</x:t>
        </x:is>
      </x:c>
      <x:c r="L200" s="12" t="inlineStr">
        <x:is>
          <x:t xml:space="preserve">Verified</x:t>
        </x:is>
      </x:c>
      <x:c r="M200" s="12" t="n">
        <x:v>30</x:v>
      </x:c>
      <x:c r="N200" s="12" t="n">
        <x:v>4</x:v>
      </x:c>
      <x:c r="O200" s="12" t="inlineStr">
        <x:is>
          <x:t xml:space="preserve">Processed</x:t>
        </x:is>
      </x:c>
    </x:row>
    <x:row r="201">
      <x:c r="A201" s="5" t="inlineStr">
        <x:is>
          <x:t xml:space="preserve">EMP24777</x:t>
        </x:is>
      </x:c>
      <x:c r="B201" s="6" t="inlineStr">
        <x:is>
          <x:t xml:space="preserve">Kavya Miller</x:t>
        </x:is>
      </x:c>
      <x:c r="C201" s="6" t="inlineStr">
        <x:is>
          <x:t xml:space="preserve">Consulting Ops</x:t>
        </x:is>
      </x:c>
      <x:c r="D201" s="5" t="inlineStr">
        <x:is>
          <x:t xml:space="preserve">Bengaluru</x:t>
        </x:is>
      </x:c>
      <x:c r="E201" s="36" t="n">
        <x:v>44358</x:v>
      </x:c>
      <x:c r="F201" s="38" t="n">
        <x:v>30649</x:v>
      </x:c>
      <x:c r="G201" s="38" t="n">
        <x:v>12260</x:v>
      </x:c>
      <x:c r="H201" s="38" t="n">
        <x:v>9000</x:v>
      </x:c>
      <x:c r="I201" s="38" t="n">
        <x:v>3993</x:v>
      </x:c>
      <x:c r="J201" s="39">
        <x:f>F201+G201+H201-I201</x:f>
        <x:v>47916</x:v>
      </x:c>
      <x:c r="K201" s="12" t="inlineStr">
        <x:is>
          <x:t xml:space="preserve">Pending Verification</x:t>
        </x:is>
      </x:c>
      <x:c r="L201" s="12" t="inlineStr">
        <x:is>
          <x:t xml:space="preserve">Verified</x:t>
        </x:is>
      </x:c>
      <x:c r="M201" s="12" t="n">
        <x:v>30</x:v>
      </x:c>
      <x:c r="N201" s="12" t="n">
        <x:v>1</x:v>
      </x:c>
      <x:c r="O201" s="12" t="inlineStr">
        <x:is>
          <x:t xml:space="preserve">Hold</x:t>
        </x:is>
      </x:c>
    </x:row>
    <x:row r="202">
      <x:c r="A202" s="5" t="inlineStr">
        <x:is>
          <x:t xml:space="preserve">EMP19567</x:t>
        </x:is>
      </x:c>
      <x:c r="B202" s="6" t="inlineStr">
        <x:is>
          <x:t xml:space="preserve">Aisha Patel</x:t>
        </x:is>
      </x:c>
      <x:c r="C202" s="6" t="inlineStr">
        <x:is>
          <x:t xml:space="preserve">HR Shared Services</x:t>
        </x:is>
      </x:c>
      <x:c r="D202" s="5" t="inlineStr">
        <x:is>
          <x:t xml:space="preserve">Hyderabad</x:t>
        </x:is>
      </x:c>
      <x:c r="E202" s="36" t="n">
        <x:v>45018</x:v>
      </x:c>
      <x:c r="F202" s="38" t="n">
        <x:v>25962</x:v>
      </x:c>
      <x:c r="G202" s="38" t="n">
        <x:v>10385</x:v>
      </x:c>
      <x:c r="H202" s="38" t="n">
        <x:v>6000</x:v>
      </x:c>
      <x:c r="I202" s="38" t="n">
        <x:v>6149</x:v>
      </x:c>
      <x:c r="J202" s="39">
        <x:f>F202+G202+H202-I202</x:f>
        <x:v>36198</x:v>
      </x:c>
      <x:c r="K202" s="12" t="inlineStr">
        <x:is>
          <x:t xml:space="preserve">Pending Verification</x:t>
        </x:is>
      </x:c>
      <x:c r="L202" s="12" t="inlineStr">
        <x:is>
          <x:t xml:space="preserve">Pending</x:t>
        </x:is>
      </x:c>
      <x:c r="M202" s="12" t="n">
        <x:v>24</x:v>
      </x:c>
      <x:c r="N202" s="12" t="n">
        <x:v>6</x:v>
      </x:c>
      <x:c r="O202" s="12" t="inlineStr">
        <x:is>
          <x:t xml:space="preserve">Processed</x:t>
        </x:is>
      </x:c>
    </x:row>
    <x:row r="203">
      <x:c r="A203" s="5" t="inlineStr">
        <x:is>
          <x:t xml:space="preserve">EMP80328</x:t>
        </x:is>
      </x:c>
      <x:c r="B203" s="6" t="inlineStr">
        <x:is>
          <x:t xml:space="preserve">Emma Jackson</x:t>
        </x:is>
      </x:c>
      <x:c r="C203" s="6" t="inlineStr">
        <x:is>
          <x:t xml:space="preserve">HR Shared Services</x:t>
        </x:is>
      </x:c>
      <x:c r="D203" s="5" t="inlineStr">
        <x:is>
          <x:t xml:space="preserve">Chennai</x:t>
        </x:is>
      </x:c>
      <x:c r="E203" s="36" t="n">
        <x:v>44446</x:v>
      </x:c>
      <x:c r="F203" s="38" t="n">
        <x:v>74957</x:v>
      </x:c>
      <x:c r="G203" s="38" t="n">
        <x:v>26235</x:v>
      </x:c>
      <x:c r="H203" s="38" t="n">
        <x:v>7500</x:v>
      </x:c>
      <x:c r="I203" s="38" t="n">
        <x:v>4200</x:v>
      </x:c>
      <x:c r="J203" s="39">
        <x:f>F203+G203+H203-I203</x:f>
        <x:v>104492</x:v>
      </x:c>
      <x:c r="K203" s="12" t="inlineStr">
        <x:is>
          <x:t xml:space="preserve">Pending Verification</x:t>
        </x:is>
      </x:c>
      <x:c r="L203" s="12" t="inlineStr">
        <x:is>
          <x:t xml:space="preserve">Verified</x:t>
        </x:is>
      </x:c>
      <x:c r="M203" s="12" t="n">
        <x:v>22</x:v>
      </x:c>
      <x:c r="N203" s="12" t="n">
        <x:v>6</x:v>
      </x:c>
      <x:c r="O203" s="12" t="inlineStr">
        <x:is>
          <x:t xml:space="preserve">Processed</x:t>
        </x:is>
      </x:c>
    </x:row>
    <x:row r="204">
      <x:c r="A204" s="5" t="inlineStr">
        <x:is>
          <x:t xml:space="preserve">EMP41278</x:t>
        </x:is>
      </x:c>
      <x:c r="B204" s="6" t="inlineStr">
        <x:is>
          <x:t xml:space="preserve">Amira Iyer</x:t>
        </x:is>
      </x:c>
      <x:c r="C204" s="6" t="inlineStr">
        <x:is>
          <x:t xml:space="preserve">HR Shared Services</x:t>
        </x:is>
      </x:c>
      <x:c r="D204" s="5" t="inlineStr">
        <x:is>
          <x:t xml:space="preserve">Noida</x:t>
        </x:is>
      </x:c>
      <x:c r="E204" s="36" t="n">
        <x:v>44428</x:v>
      </x:c>
      <x:c r="F204" s="38" t="n">
        <x:v>42372</x:v>
      </x:c>
      <x:c r="G204" s="38" t="n">
        <x:v>21665</x:v>
      </x:c>
      <x:c r="H204" s="38" t="n">
        <x:v>6000</x:v>
      </x:c>
      <x:c r="I204" s="38" t="n">
        <x:v>6456</x:v>
      </x:c>
      <x:c r="J204" s="39">
        <x:f>F204+G204+H204-I204</x:f>
        <x:v>63581</x:v>
      </x:c>
      <x:c r="K204" s="12" t="inlineStr">
        <x:is>
          <x:t xml:space="preserve">Pending Verification</x:t>
        </x:is>
      </x:c>
      <x:c r="L204" s="12" t="inlineStr">
        <x:is>
          <x:t xml:space="preserve">Verified</x:t>
        </x:is>
      </x:c>
      <x:c r="M204" s="12" t="n">
        <x:v>19</x:v>
      </x:c>
      <x:c r="N204" s="12" t="n">
        <x:v>0</x:v>
      </x:c>
      <x:c r="O204" s="12" t="inlineStr">
        <x:is>
          <x:t xml:space="preserve">Processed</x:t>
        </x:is>
      </x:c>
    </x:row>
    <x:row r="205">
      <x:c r="A205" s="5" t="inlineStr">
        <x:is>
          <x:t xml:space="preserve">EMP74437</x:t>
        </x:is>
      </x:c>
      <x:c r="B205" s="6" t="inlineStr">
        <x:is>
          <x:t xml:space="preserve">Ethan Miller</x:t>
        </x:is>
      </x:c>
      <x:c r="C205" s="6" t="inlineStr">
        <x:is>
          <x:t xml:space="preserve">IT Support</x:t>
        </x:is>
      </x:c>
      <x:c r="D205" s="5" t="inlineStr">
        <x:is>
          <x:t xml:space="preserve">Chennai</x:t>
        </x:is>
      </x:c>
      <x:c r="E205" s="36" t="n">
        <x:v>44717</x:v>
      </x:c>
      <x:c r="F205" s="38" t="n">
        <x:v>71137</x:v>
      </x:c>
      <x:c r="G205" s="38" t="n">
        <x:v>28455</x:v>
      </x:c>
      <x:c r="H205" s="38" t="n">
        <x:v>2500</x:v>
      </x:c>
      <x:c r="I205" s="38" t="n">
        <x:v>7319</x:v>
      </x:c>
      <x:c r="J205" s="39">
        <x:f>F205+G205+H205-I205</x:f>
        <x:v>94773</x:v>
      </x:c>
      <x:c r="K205" s="12" t="inlineStr">
        <x:is>
          <x:t xml:space="preserve">Verified</x:t>
        </x:is>
      </x:c>
      <x:c r="L205" s="12" t="inlineStr">
        <x:is>
          <x:t xml:space="preserve">Pending</x:t>
        </x:is>
      </x:c>
      <x:c r="M205" s="12" t="n">
        <x:v>30</x:v>
      </x:c>
      <x:c r="N205" s="12" t="n">
        <x:v>1</x:v>
      </x:c>
      <x:c r="O205" s="12" t="inlineStr">
        <x:is>
          <x:t xml:space="preserve">Processed</x:t>
        </x:is>
      </x:c>
    </x:row>
    <x:row r="206">
      <x:c r="A206" s="5" t="inlineStr">
        <x:is>
          <x:t xml:space="preserve">EMP18371</x:t>
        </x:is>
      </x:c>
      <x:c r="B206" s="6" t="inlineStr">
        <x:is>
          <x:t xml:space="preserve">Kiran Shah</x:t>
        </x:is>
      </x:c>
      <x:c r="C206" s="6" t="inlineStr">
        <x:is>
          <x:t xml:space="preserve">Consulting Ops</x:t>
        </x:is>
      </x:c>
      <x:c r="D206" s="5" t="inlineStr">
        <x:is>
          <x:t xml:space="preserve">Bengaluru</x:t>
        </x:is>
      </x:c>
      <x:c r="E206" s="36" t="n">
        <x:v>45521</x:v>
      </x:c>
      <x:c r="F206" s="38" t="n">
        <x:v>45601</x:v>
      </x:c>
      <x:c r="G206" s="38" t="n">
        <x:v>15960</x:v>
      </x:c>
      <x:c r="H206" s="38" t="n">
        <x:v>12000</x:v>
      </x:c>
      <x:c r="I206" s="38" t="n">
        <x:v>5643</x:v>
      </x:c>
      <x:c r="J206" s="39">
        <x:f>F206+G206+H206-I206</x:f>
        <x:v>67918</x:v>
      </x:c>
      <x:c r="K206" s="12" t="inlineStr">
        <x:is>
          <x:t xml:space="preserve">Verified</x:t>
        </x:is>
      </x:c>
      <x:c r="L206" s="12" t="inlineStr">
        <x:is>
          <x:t xml:space="preserve">Pending</x:t>
        </x:is>
      </x:c>
      <x:c r="M206" s="12" t="n">
        <x:v>20</x:v>
      </x:c>
      <x:c r="N206" s="12" t="n">
        <x:v>4</x:v>
      </x:c>
      <x:c r="O206" s="12" t="inlineStr">
        <x:is>
          <x:t xml:space="preserve">Pending</x:t>
        </x:is>
      </x:c>
    </x:row>
    <x:row r="207">
      <x:c r="A207" s="5" t="inlineStr">
        <x:is>
          <x:t xml:space="preserve">EMP85223</x:t>
        </x:is>
      </x:c>
      <x:c r="B207" s="6" t="inlineStr">
        <x:is>
          <x:t xml:space="preserve">Deepika Iyer</x:t>
        </x:is>
      </x:c>
      <x:c r="C207" s="6" t="inlineStr">
        <x:is>
          <x:t xml:space="preserve">Tax Support</x:t>
        </x:is>
      </x:c>
      <x:c r="D207" s="5" t="inlineStr">
        <x:is>
          <x:t xml:space="preserve">Hyderabad</x:t>
        </x:is>
      </x:c>
      <x:c r="E207" s="36" t="n">
        <x:v>44204</x:v>
      </x:c>
      <x:c r="F207" s="38" t="n">
        <x:v>25013</x:v>
      </x:c>
      <x:c r="G207" s="38" t="n">
        <x:v>10005</x:v>
      </x:c>
      <x:c r="H207" s="38" t="n">
        <x:v>7500</x:v>
      </x:c>
      <x:c r="I207" s="38" t="n">
        <x:v>4137</x:v>
      </x:c>
      <x:c r="J207" s="39">
        <x:f>F207+G207+H207-I207</x:f>
        <x:v>38381</x:v>
      </x:c>
      <x:c r="K207" s="12" t="inlineStr">
        <x:is>
          <x:t xml:space="preserve">Verified</x:t>
        </x:is>
      </x:c>
      <x:c r="L207" s="12" t="inlineStr">
        <x:is>
          <x:t xml:space="preserve">Verified</x:t>
        </x:is>
      </x:c>
      <x:c r="M207" s="12" t="n">
        <x:v>25</x:v>
      </x:c>
      <x:c r="N207" s="12" t="n">
        <x:v>0</x:v>
      </x:c>
      <x:c r="O207" s="12" t="inlineStr">
        <x:is>
          <x:t xml:space="preserve">Processed</x:t>
        </x:is>
      </x:c>
    </x:row>
    <x:row r="208">
      <x:c r="A208" s="5" t="inlineStr">
        <x:is>
          <x:t xml:space="preserve">EMP95944</x:t>
        </x:is>
      </x:c>
      <x:c r="B208" s="6" t="inlineStr">
        <x:is>
          <x:t xml:space="preserve">Rohan Iyer</x:t>
        </x:is>
      </x:c>
      <x:c r="C208" s="6" t="inlineStr">
        <x:is>
          <x:t xml:space="preserve">IT Support</x:t>
        </x:is>
      </x:c>
      <x:c r="D208" s="5" t="inlineStr">
        <x:is>
          <x:t xml:space="preserve">Pune</x:t>
        </x:is>
      </x:c>
      <x:c r="E208" s="36" t="n">
        <x:v>45637</x:v>
      </x:c>
      <x:c r="F208" s="38" t="n">
        <x:v>39777</x:v>
      </x:c>
      <x:c r="G208" s="38" t="n">
        <x:v>13922</x:v>
      </x:c>
      <x:c r="H208" s="38" t="n">
        <x:v>7500</x:v>
      </x:c>
      <x:c r="I208" s="38" t="n">
        <x:v>1978</x:v>
      </x:c>
      <x:c r="J208" s="39">
        <x:f>F208+G208+H208-I208</x:f>
        <x:v>59221</x:v>
      </x:c>
      <x:c r="K208" s="12" t="inlineStr">
        <x:is>
          <x:t xml:space="preserve">Pending Verification</x:t>
        </x:is>
      </x:c>
      <x:c r="L208" s="12" t="inlineStr">
        <x:is>
          <x:t xml:space="preserve">Verified</x:t>
        </x:is>
      </x:c>
      <x:c r="M208" s="12" t="n">
        <x:v>20</x:v>
      </x:c>
      <x:c r="N208" s="12" t="n">
        <x:v>3</x:v>
      </x:c>
      <x:c r="O208" s="12" t="inlineStr">
        <x:is>
          <x:t xml:space="preserve">Pending</x:t>
        </x:is>
      </x:c>
    </x:row>
    <x:row r="209">
      <x:c r="A209" s="5" t="inlineStr">
        <x:is>
          <x:t xml:space="preserve">EMP16019</x:t>
        </x:is>
      </x:c>
      <x:c r="B209" s="6" t="inlineStr">
        <x:is>
          <x:t xml:space="preserve">Ravi Brown</x:t>
        </x:is>
      </x:c>
      <x:c r="C209" s="6" t="inlineStr">
        <x:is>
          <x:t xml:space="preserve">Audit Support</x:t>
        </x:is>
      </x:c>
      <x:c r="D209" s="5" t="inlineStr">
        <x:is>
          <x:t xml:space="preserve">Chennai</x:t>
        </x:is>
      </x:c>
      <x:c r="E209" s="36" t="n">
        <x:v>45080</x:v>
      </x:c>
      <x:c r="F209" s="38" t="n">
        <x:v>58247</x:v>
      </x:c>
      <x:c r="G209" s="38" t="n">
        <x:v>23299</x:v>
      </x:c>
      <x:c r="H209" s="38" t="n">
        <x:v>1500</x:v>
      </x:c>
      <x:c r="I209" s="38" t="n">
        <x:v>4022</x:v>
      </x:c>
      <x:c r="J209" s="39">
        <x:f>F209+G209+H209-I209</x:f>
        <x:v>79024</x:v>
      </x:c>
      <x:c r="K209" s="12" t="inlineStr">
        <x:is>
          <x:t xml:space="preserve">Verified</x:t>
        </x:is>
      </x:c>
      <x:c r="L209" s="12" t="inlineStr">
        <x:is>
          <x:t xml:space="preserve">Pending</x:t>
        </x:is>
      </x:c>
      <x:c r="M209" s="12" t="n">
        <x:v>27</x:v>
      </x:c>
      <x:c r="N209" s="12" t="n">
        <x:v>2</x:v>
      </x:c>
      <x:c r="O209" s="12" t="inlineStr">
        <x:is>
          <x:t xml:space="preserve">Processed</x:t>
        </x:is>
      </x:c>
    </x:row>
    <x:row r="210">
      <x:c r="A210" s="5" t="inlineStr">
        <x:is>
          <x:t xml:space="preserve">EMP41795</x:t>
        </x:is>
      </x:c>
      <x:c r="B210" s="6" t="inlineStr">
        <x:is>
          <x:t xml:space="preserve">Vikram Kumar</x:t>
        </x:is>
      </x:c>
      <x:c r="C210" s="6" t="inlineStr">
        <x:is>
          <x:t xml:space="preserve">Consulting Ops</x:t>
        </x:is>
      </x:c>
      <x:c r="D210" s="5" t="inlineStr">
        <x:is>
          <x:t xml:space="preserve">Kolkata</x:t>
        </x:is>
      </x:c>
      <x:c r="E210" s="36" t="n">
        <x:v>44913</x:v>
      </x:c>
      <x:c r="F210" s="38" t="n">
        <x:v>71838</x:v>
      </x:c>
      <x:c r="G210" s="38" t="n">
        <x:v>25143</x:v>
      </x:c>
      <x:c r="H210" s="38" t="n">
        <x:v>3000</x:v>
      </x:c>
      <x:c r="I210" s="38" t="n">
        <x:v>1052</x:v>
      </x:c>
      <x:c r="J210" s="39">
        <x:f>F210+G210+H210-I210</x:f>
        <x:v>98929</x:v>
      </x:c>
      <x:c r="K210" s="12" t="inlineStr">
        <x:is>
          <x:t xml:space="preserve">Active</x:t>
        </x:is>
      </x:c>
      <x:c r="L210" s="12" t="inlineStr">
        <x:is>
          <x:t xml:space="preserve">Verified</x:t>
        </x:is>
      </x:c>
      <x:c r="M210" s="12" t="n">
        <x:v>21</x:v>
      </x:c>
      <x:c r="N210" s="12" t="n">
        <x:v>8</x:v>
      </x:c>
      <x:c r="O210" s="12" t="inlineStr">
        <x:is>
          <x:t xml:space="preserve">Processed</x:t>
        </x:is>
      </x:c>
    </x:row>
    <x:row r="211">
      <x:c r="A211" s="5" t="inlineStr">
        <x:is>
          <x:t xml:space="preserve">EMP11257</x:t>
        </x:is>
      </x:c>
      <x:c r="B211" s="6" t="inlineStr">
        <x:is>
          <x:t xml:space="preserve">Noah Anderson</x:t>
        </x:is>
      </x:c>
      <x:c r="C211" s="6" t="inlineStr">
        <x:is>
          <x:t xml:space="preserve">Risk Advisory</x:t>
        </x:is>
      </x:c>
      <x:c r="D211" s="5" t="inlineStr">
        <x:is>
          <x:t xml:space="preserve">Chennai</x:t>
        </x:is>
      </x:c>
      <x:c r="E211" s="36" t="n">
        <x:v>44303</x:v>
      </x:c>
      <x:c r="F211" s="38" t="n">
        <x:v>37608</x:v>
      </x:c>
      <x:c r="G211" s="38" t="n">
        <x:v>15043</x:v>
      </x:c>
      <x:c r="H211" s="38" t="n">
        <x:v>12000</x:v>
      </x:c>
      <x:c r="I211" s="38" t="n">
        <x:v>1490</x:v>
      </x:c>
      <x:c r="J211" s="39">
        <x:f>F211+G211+H211-I211</x:f>
        <x:v>63161</x:v>
      </x:c>
      <x:c r="K211" s="12" t="inlineStr">
        <x:is>
          <x:t xml:space="preserve">Verified</x:t>
        </x:is>
      </x:c>
      <x:c r="L211" s="12" t="inlineStr">
        <x:is>
          <x:t xml:space="preserve">Pending</x:t>
        </x:is>
      </x:c>
      <x:c r="M211" s="12" t="n">
        <x:v>19</x:v>
      </x:c>
      <x:c r="N211" s="12" t="n">
        <x:v>0</x:v>
      </x:c>
      <x:c r="O211" s="12" t="inlineStr">
        <x:is>
          <x:t xml:space="preserve">Pending</x:t>
        </x:is>
      </x:c>
    </x:row>
    <x:row r="212">
      <x:c r="A212" s="5" t="inlineStr">
        <x:is>
          <x:t xml:space="preserve">EMP78125</x:t>
        </x:is>
      </x:c>
      <x:c r="B212" s="6" t="inlineStr">
        <x:is>
          <x:t xml:space="preserve">Rohan Shah</x:t>
        </x:is>
      </x:c>
      <x:c r="C212" s="6" t="inlineStr">
        <x:is>
          <x:t xml:space="preserve">IT Support</x:t>
        </x:is>
      </x:c>
      <x:c r="D212" s="5" t="inlineStr">
        <x:is>
          <x:t xml:space="preserve">Kolkata</x:t>
        </x:is>
      </x:c>
      <x:c r="E212" s="36" t="n">
        <x:v>44473</x:v>
      </x:c>
      <x:c r="F212" s="38" t="n">
        <x:v>38939</x:v>
      </x:c>
      <x:c r="G212" s="38" t="n">
        <x:v>19293</x:v>
      </x:c>
      <x:c r="H212" s="38" t="n">
        <x:v>9000</x:v>
      </x:c>
      <x:c r="I212" s="38" t="n">
        <x:v>1613</x:v>
      </x:c>
      <x:c r="J212" s="39">
        <x:f>F212+G212+H212-I212</x:f>
        <x:v>65619</x:v>
      </x:c>
      <x:c r="K212" s="12" t="inlineStr">
        <x:is>
          <x:t xml:space="preserve">Pending Verification</x:t>
        </x:is>
      </x:c>
      <x:c r="L212" s="12" t="inlineStr">
        <x:is>
          <x:t xml:space="preserve">Verified</x:t>
        </x:is>
      </x:c>
      <x:c r="M212" s="12" t="n">
        <x:v>24</x:v>
      </x:c>
      <x:c r="N212" s="12" t="n">
        <x:v>2</x:v>
      </x:c>
      <x:c r="O212" s="12" t="inlineStr">
        <x:is>
          <x:t xml:space="preserve">Processed</x:t>
        </x:is>
      </x:c>
    </x:row>
    <x:row r="213">
      <x:c r="A213" s="5" t="inlineStr">
        <x:is>
          <x:t xml:space="preserve">EMP44208</x:t>
        </x:is>
      </x:c>
      <x:c r="B213" s="6" t="inlineStr">
        <x:is>
          <x:t xml:space="preserve">Mohammed White</x:t>
        </x:is>
      </x:c>
      <x:c r="C213" s="6" t="inlineStr">
        <x:is>
          <x:t xml:space="preserve">Risk Advisory</x:t>
        </x:is>
      </x:c>
      <x:c r="D213" s="5" t="inlineStr">
        <x:is>
          <x:t xml:space="preserve">Gurgaon</x:t>
        </x:is>
      </x:c>
      <x:c r="E213" s="36" t="n">
        <x:v>45147</x:v>
      </x:c>
      <x:c r="F213" s="38" t="n">
        <x:v>37309</x:v>
      </x:c>
      <x:c r="G213" s="38" t="n">
        <x:v>13058</x:v>
      </x:c>
      <x:c r="H213" s="38" t="n">
        <x:v>4500</x:v>
      </x:c>
      <x:c r="I213" s="38" t="n">
        <x:v>2115</x:v>
      </x:c>
      <x:c r="J213" s="39">
        <x:f>F213+G213+H213-I213</x:f>
        <x:v>52752</x:v>
      </x:c>
      <x:c r="K213" s="12" t="inlineStr">
        <x:is>
          <x:t xml:space="preserve">Pending Verification</x:t>
        </x:is>
      </x:c>
      <x:c r="L213" s="12" t="inlineStr">
        <x:is>
          <x:t xml:space="preserve">Verified</x:t>
        </x:is>
      </x:c>
      <x:c r="M213" s="12" t="n">
        <x:v>20</x:v>
      </x:c>
      <x:c r="N213" s="12" t="n">
        <x:v>1</x:v>
      </x:c>
      <x:c r="O213" s="12" t="inlineStr">
        <x:is>
          <x:t xml:space="preserve">Processed</x:t>
        </x:is>
      </x:c>
    </x:row>
    <x:row r="214">
      <x:c r="A214" s="5" t="inlineStr">
        <x:is>
          <x:t xml:space="preserve">EMP71086</x:t>
        </x:is>
      </x:c>
      <x:c r="B214" s="6" t="inlineStr">
        <x:is>
          <x:t xml:space="preserve">Mohammed Martin</x:t>
        </x:is>
      </x:c>
      <x:c r="C214" s="6" t="inlineStr">
        <x:is>
          <x:t xml:space="preserve">HR Shared Services</x:t>
        </x:is>
      </x:c>
      <x:c r="D214" s="5" t="inlineStr">
        <x:is>
          <x:t xml:space="preserve">Gurgaon</x:t>
        </x:is>
      </x:c>
      <x:c r="E214" s="36" t="n">
        <x:v>44783</x:v>
      </x:c>
      <x:c r="F214" s="38" t="n">
        <x:v>52365</x:v>
      </x:c>
      <x:c r="G214" s="38" t="n">
        <x:v>20946</x:v>
      </x:c>
      <x:c r="H214" s="38" t="n">
        <x:v>2500</x:v>
      </x:c>
      <x:c r="I214" s="38" t="n">
        <x:v>1740</x:v>
      </x:c>
      <x:c r="J214" s="39">
        <x:f>F214+G214+H214-I214</x:f>
        <x:v>74071</x:v>
      </x:c>
      <x:c r="K214" s="12" t="inlineStr">
        <x:is>
          <x:t xml:space="preserve">Verified</x:t>
        </x:is>
      </x:c>
      <x:c r="L214" s="12" t="inlineStr">
        <x:is>
          <x:t xml:space="preserve">Pending</x:t>
        </x:is>
      </x:c>
      <x:c r="M214" s="12" t="n">
        <x:v>31</x:v>
      </x:c>
      <x:c r="N214" s="12" t="n">
        <x:v>0</x:v>
      </x:c>
      <x:c r="O214" s="12" t="inlineStr">
        <x:is>
          <x:t xml:space="preserve">Processed</x:t>
        </x:is>
      </x:c>
    </x:row>
    <x:row r="215">
      <x:c r="A215" s="5" t="inlineStr">
        <x:is>
          <x:t xml:space="preserve">EMP52964</x:t>
        </x:is>
      </x:c>
      <x:c r="B215" s="6" t="inlineStr">
        <x:is>
          <x:t xml:space="preserve">Emma Brown</x:t>
        </x:is>
      </x:c>
      <x:c r="C215" s="6" t="inlineStr">
        <x:is>
          <x:t xml:space="preserve">Benefits Team</x:t>
        </x:is>
      </x:c>
      <x:c r="D215" s="5" t="inlineStr">
        <x:is>
          <x:t xml:space="preserve">Gurgaon</x:t>
        </x:is>
      </x:c>
      <x:c r="E215" s="36" t="n">
        <x:v>45537</x:v>
      </x:c>
      <x:c r="F215" s="38" t="n">
        <x:v>66379</x:v>
      </x:c>
      <x:c r="G215" s="38" t="n">
        <x:v>26552</x:v>
      </x:c>
      <x:c r="H215" s="38" t="n">
        <x:v>6000</x:v>
      </x:c>
      <x:c r="I215" s="38" t="n">
        <x:v>7718</x:v>
      </x:c>
      <x:c r="J215" s="39">
        <x:f>F215+G215+H215-I215</x:f>
        <x:v>91213</x:v>
      </x:c>
      <x:c r="K215" s="12" t="inlineStr">
        <x:is>
          <x:t xml:space="preserve">Verified</x:t>
        </x:is>
      </x:c>
      <x:c r="L215" s="12" t="inlineStr">
        <x:is>
          <x:t xml:space="preserve">Verified</x:t>
        </x:is>
      </x:c>
      <x:c r="M215" s="12" t="n">
        <x:v>24</x:v>
      </x:c>
      <x:c r="N215" s="12" t="n">
        <x:v>7</x:v>
      </x:c>
      <x:c r="O215" s="12" t="inlineStr">
        <x:is>
          <x:t xml:space="preserve">Processed</x:t>
        </x:is>
      </x:c>
    </x:row>
    <x:row r="216">
      <x:c r="A216" s="5" t="inlineStr">
        <x:is>
          <x:t xml:space="preserve">EMP82105</x:t>
        </x:is>
      </x:c>
      <x:c r="B216" s="6" t="inlineStr">
        <x:is>
          <x:t xml:space="preserve">Kavya Davis</x:t>
        </x:is>
      </x:c>
      <x:c r="C216" s="6" t="inlineStr">
        <x:is>
          <x:t xml:space="preserve">Audit Support</x:t>
        </x:is>
      </x:c>
      <x:c r="D216" s="5" t="inlineStr">
        <x:is>
          <x:t xml:space="preserve">Bengaluru</x:t>
        </x:is>
      </x:c>
      <x:c r="E216" s="36" t="n">
        <x:v>44593</x:v>
      </x:c>
      <x:c r="F216" s="38" t="n">
        <x:v>26041</x:v>
      </x:c>
      <x:c r="G216" s="38" t="n">
        <x:v>9114</x:v>
      </x:c>
      <x:c r="H216" s="38" t="n">
        <x:v>3000</x:v>
      </x:c>
      <x:c r="I216" s="38" t="n">
        <x:v>2623</x:v>
      </x:c>
      <x:c r="J216" s="39">
        <x:f>F216+G216+H216-I216</x:f>
        <x:v>35532</x:v>
      </x:c>
      <x:c r="K216" s="12" t="inlineStr">
        <x:is>
          <x:t xml:space="preserve">Active</x:t>
        </x:is>
      </x:c>
      <x:c r="L216" s="12" t="inlineStr">
        <x:is>
          <x:t xml:space="preserve">Pending</x:t>
        </x:is>
      </x:c>
      <x:c r="M216" s="12" t="n">
        <x:v>28</x:v>
      </x:c>
      <x:c r="N216" s="12" t="n">
        <x:v>0</x:v>
      </x:c>
      <x:c r="O216" s="12" t="inlineStr">
        <x:is>
          <x:t xml:space="preserve">Processed</x:t>
        </x:is>
      </x:c>
    </x:row>
    <x:row r="217">
      <x:c r="A217" s="5" t="inlineStr">
        <x:is>
          <x:t xml:space="preserve">EMP43924</x:t>
        </x:is>
      </x:c>
      <x:c r="B217" s="6" t="inlineStr">
        <x:is>
          <x:t xml:space="preserve">Ananya Anderson</x:t>
        </x:is>
      </x:c>
      <x:c r="C217" s="6" t="inlineStr">
        <x:is>
          <x:t xml:space="preserve">HR Shared Services</x:t>
        </x:is>
      </x:c>
      <x:c r="D217" s="5" t="inlineStr">
        <x:is>
          <x:t xml:space="preserve">Pune</x:t>
        </x:is>
      </x:c>
      <x:c r="E217" s="36" t="n">
        <x:v>45354</x:v>
      </x:c>
      <x:c r="F217" s="38" t="n">
        <x:v>77527</x:v>
      </x:c>
      <x:c r="G217" s="38" t="n">
        <x:v>31011</x:v>
      </x:c>
      <x:c r="H217" s="38" t="n">
        <x:v>2500</x:v>
      </x:c>
      <x:c r="I217" s="38" t="n">
        <x:v>1349</x:v>
      </x:c>
      <x:c r="J217" s="39">
        <x:f>F217+G217+H217-I217</x:f>
        <x:v>109689</x:v>
      </x:c>
      <x:c r="K217" s="12" t="inlineStr">
        <x:is>
          <x:t xml:space="preserve">Active</x:t>
        </x:is>
      </x:c>
      <x:c r="L217" s="12" t="inlineStr">
        <x:is>
          <x:t xml:space="preserve">Verified</x:t>
        </x:is>
      </x:c>
      <x:c r="M217" s="12" t="n">
        <x:v>20</x:v>
      </x:c>
      <x:c r="N217" s="12" t="n">
        <x:v>6</x:v>
      </x:c>
      <x:c r="O217" s="12" t="inlineStr">
        <x:is>
          <x:t xml:space="preserve">Pending</x:t>
        </x:is>
      </x:c>
    </x:row>
    <x:row r="218">
      <x:c r="A218" s="5" t="inlineStr">
        <x:is>
          <x:t xml:space="preserve">EMP61773</x:t>
        </x:is>
      </x:c>
      <x:c r="B218" s="6" t="inlineStr">
        <x:is>
          <x:t xml:space="preserve">Charlotte Anderson</x:t>
        </x:is>
      </x:c>
      <x:c r="C218" s="6" t="inlineStr">
        <x:is>
          <x:t xml:space="preserve">Risk Advisory</x:t>
        </x:is>
      </x:c>
      <x:c r="D218" s="5" t="inlineStr">
        <x:is>
          <x:t xml:space="preserve">Noida</x:t>
        </x:is>
      </x:c>
      <x:c r="E218" s="36" t="n">
        <x:v>44719</x:v>
      </x:c>
      <x:c r="F218" s="38" t="n">
        <x:v>34265</x:v>
      </x:c>
      <x:c r="G218" s="38" t="n">
        <x:v>13706</x:v>
      </x:c>
      <x:c r="H218" s="38" t="n">
        <x:v>6000</x:v>
      </x:c>
      <x:c r="I218" s="38" t="n">
        <x:v>4653</x:v>
      </x:c>
      <x:c r="J218" s="39">
        <x:f>F218+G218+H218-I218</x:f>
        <x:v>49318</x:v>
      </x:c>
      <x:c r="K218" s="12" t="inlineStr">
        <x:is>
          <x:t xml:space="preserve">Verified</x:t>
        </x:is>
      </x:c>
      <x:c r="L218" s="12" t="inlineStr">
        <x:is>
          <x:t xml:space="preserve">Verified</x:t>
        </x:is>
      </x:c>
      <x:c r="M218" s="12" t="n">
        <x:v>27</x:v>
      </x:c>
      <x:c r="N218" s="12" t="n">
        <x:v>4</x:v>
      </x:c>
      <x:c r="O218" s="12" t="inlineStr">
        <x:is>
          <x:t xml:space="preserve">Processed</x:t>
        </x:is>
      </x:c>
    </x:row>
    <x:row r="219">
      <x:c r="A219" s="5" t="inlineStr">
        <x:is>
          <x:t xml:space="preserve">EMP94840</x:t>
        </x:is>
      </x:c>
      <x:c r="B219" s="6" t="inlineStr">
        <x:is>
          <x:t xml:space="preserve">Lucas Miller</x:t>
        </x:is>
      </x:c>
      <x:c r="C219" s="6" t="inlineStr">
        <x:is>
          <x:t xml:space="preserve">Risk Advisory</x:t>
        </x:is>
      </x:c>
      <x:c r="D219" s="5" t="inlineStr">
        <x:is>
          <x:t xml:space="preserve">Kolkata</x:t>
        </x:is>
      </x:c>
      <x:c r="E219" s="36" t="n">
        <x:v>44236</x:v>
      </x:c>
      <x:c r="F219" s="38" t="n">
        <x:v>47101</x:v>
      </x:c>
      <x:c r="G219" s="38" t="n">
        <x:v>16485</x:v>
      </x:c>
      <x:c r="H219" s="38" t="n">
        <x:v>9000</x:v>
      </x:c>
      <x:c r="I219" s="38" t="n">
        <x:v>2633</x:v>
      </x:c>
      <x:c r="J219" s="39">
        <x:f>F219+G219+H219-I219</x:f>
        <x:v>69953</x:v>
      </x:c>
      <x:c r="K219" s="12" t="inlineStr">
        <x:is>
          <x:t xml:space="preserve">Pending Verification</x:t>
        </x:is>
      </x:c>
      <x:c r="L219" s="12" t="inlineStr">
        <x:is>
          <x:t xml:space="preserve">Verified</x:t>
        </x:is>
      </x:c>
      <x:c r="M219" s="12" t="n">
        <x:v>28</x:v>
      </x:c>
      <x:c r="N219" s="12" t="n">
        <x:v>0</x:v>
      </x:c>
      <x:c r="O219" s="12" t="inlineStr">
        <x:is>
          <x:t xml:space="preserve">Hold</x:t>
        </x:is>
      </x:c>
    </x:row>
    <x:row r="220">
      <x:c r="A220" s="5" t="inlineStr">
        <x:is>
          <x:t xml:space="preserve">EMP57069</x:t>
        </x:is>
      </x:c>
      <x:c r="B220" s="6" t="inlineStr">
        <x:is>
          <x:t xml:space="preserve">William Nair</x:t>
        </x:is>
      </x:c>
      <x:c r="C220" s="6" t="inlineStr">
        <x:is>
          <x:t xml:space="preserve">Audit Support</x:t>
        </x:is>
      </x:c>
      <x:c r="D220" s="5" t="inlineStr">
        <x:is>
          <x:t xml:space="preserve">Gurgaon</x:t>
        </x:is>
      </x:c>
      <x:c r="E220" s="36" t="n">
        <x:v>45116</x:v>
      </x:c>
      <x:c r="F220" s="38" t="n">
        <x:v>33784</x:v>
      </x:c>
      <x:c r="G220" s="38" t="n">
        <x:v>11824</x:v>
      </x:c>
      <x:c r="H220" s="38" t="n">
        <x:v>7500</x:v>
      </x:c>
      <x:c r="I220" s="38" t="n">
        <x:v>5891</x:v>
      </x:c>
      <x:c r="J220" s="39">
        <x:f>F220+G220+H220-I220</x:f>
        <x:v>47217</x:v>
      </x:c>
      <x:c r="K220" s="12" t="inlineStr">
        <x:is>
          <x:t xml:space="preserve">Verified</x:t>
        </x:is>
      </x:c>
      <x:c r="L220" s="12" t="inlineStr">
        <x:is>
          <x:t xml:space="preserve">Verified</x:t>
        </x:is>
      </x:c>
      <x:c r="M220" s="12" t="n">
        <x:v>30</x:v>
      </x:c>
      <x:c r="N220" s="12" t="n">
        <x:v>1</x:v>
      </x:c>
      <x:c r="O220" s="12" t="inlineStr">
        <x:is>
          <x:t xml:space="preserve">Processed</x:t>
        </x:is>
      </x:c>
    </x:row>
    <x:row r="221">
      <x:c r="A221" s="5" t="inlineStr">
        <x:is>
          <x:t xml:space="preserve">EMP71824</x:t>
        </x:is>
      </x:c>
      <x:c r="B221" s="6" t="inlineStr">
        <x:is>
          <x:t xml:space="preserve">Oliver Singh</x:t>
        </x:is>
      </x:c>
      <x:c r="C221" s="6" t="inlineStr">
        <x:is>
          <x:t xml:space="preserve">Consulting Ops</x:t>
        </x:is>
      </x:c>
      <x:c r="D221" s="5" t="inlineStr">
        <x:is>
          <x:t xml:space="preserve">Pune</x:t>
        </x:is>
      </x:c>
      <x:c r="E221" s="36" t="n">
        <x:v>44600</x:v>
      </x:c>
      <x:c r="F221" s="38" t="n">
        <x:v>65048</x:v>
      </x:c>
      <x:c r="G221" s="38" t="n">
        <x:v>22767</x:v>
      </x:c>
      <x:c r="H221" s="38" t="n">
        <x:v>6000</x:v>
      </x:c>
      <x:c r="I221" s="38" t="n">
        <x:v>5371</x:v>
      </x:c>
      <x:c r="J221" s="39">
        <x:f>F221+G221+H221-I221</x:f>
        <x:v>88444</x:v>
      </x:c>
      <x:c r="K221" s="12" t="inlineStr">
        <x:is>
          <x:t xml:space="preserve">Pending Verification</x:t>
        </x:is>
      </x:c>
      <x:c r="L221" s="12" t="inlineStr">
        <x:is>
          <x:t xml:space="preserve">Verified</x:t>
        </x:is>
      </x:c>
      <x:c r="M221" s="12" t="n">
        <x:v>30</x:v>
      </x:c>
      <x:c r="N221" s="12" t="n">
        <x:v>0</x:v>
      </x:c>
      <x:c r="O221" s="12" t="inlineStr">
        <x:is>
          <x:t xml:space="preserve">Processed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d6b4a4a6012e4733"/>
  </x:tableParts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14" customWidth="1"/>
    <x:col min="2" max="2" width="22" customWidth="1"/>
    <x:col min="3" max="3" width="20" customWidth="1"/>
    <x:col min="4" max="4" width="14" customWidth="1"/>
    <x:col min="5" max="5" width="14" customWidth="1"/>
    <x:col min="6" max="6" width="14" customWidth="1"/>
    <x:col min="7" max="7" width="16" customWidth="1"/>
    <x:col min="8" max="8" width="16" customWidth="1"/>
    <x:col min="9" max="9" width="14" customWidth="1"/>
    <x:col min="10" max="10" width="18" customWidth="1"/>
    <x:col min="11" max="11" width="12" customWidth="1"/>
    <x:col min="12" max="12" width="16" customWidth="1"/>
    <x:col min="13" max="13" width="12" customWidth="1"/>
    <x:col min="14" max="14" width="18" customWidth="1"/>
    <x:col min="15" max="15" width="12" customWidth="1"/>
    <x:col min="16" max="16" width="14" customWidth="1"/>
    <x:col min="17" max="17" width="28" customWidth="1"/>
    <x:col min="20" max="20" width="18" customWidth="1"/>
    <x:col min="21" max="21" width="12" customWidth="1"/>
  </x:cols>
  <x:sheetData>
    <x:row r="1" ht="26" customHeight="1">
      <x:c r="A1" s="1" t="inlineStr">
        <x:is>
          <x:t xml:space="preserve">HR Payroll Data Validation - Automated Error Checks</x:t>
        </x:is>
      </x:c>
      <x:c r="T1" s="13" t="inlineStr">
        <x:is>
          <x:t xml:space="preserve">Total Records</x:t>
        </x:is>
      </x:c>
      <x:c r="U1" s="14">
        <x:f>COUNTA(A4:A223)</x:f>
        <x:v>220</x:v>
      </x:c>
    </x:row>
    <x:row r="2">
      <x:c r="T2" s="13" t="inlineStr">
        <x:is>
          <x:t xml:space="preserve">Records with Errors</x:t>
        </x:is>
      </x:c>
      <x:c r="U2" s="14">
        <x:f>COUNTIF(P4:P223,"Error Found")</x:f>
        <x:v>43</x:v>
      </x:c>
    </x:row>
    <x:row r="3" ht="34.5" customHeight="1">
      <x:c r="A3" s="2" t="inlineStr">
        <x:is>
          <x:t xml:space="preserve">Employee ID</x:t>
        </x:is>
      </x:c>
      <x:c r="B3" s="2" t="inlineStr">
        <x:is>
          <x:t xml:space="preserve">Employee Name</x:t>
        </x:is>
      </x:c>
      <x:c r="C3" s="2" t="inlineStr">
        <x:is>
          <x:t xml:space="preserve">Department</x:t>
        </x:is>
      </x:c>
      <x:c r="D3" s="2" t="inlineStr">
        <x:is>
          <x:t xml:space="preserve">Duplicate ID</x:t>
        </x:is>
      </x:c>
      <x:c r="E3" s="2" t="inlineStr">
        <x:is>
          <x:t xml:space="preserve">Missing Name</x:t>
        </x:is>
      </x:c>
      <x:c r="F3" s="2" t="inlineStr">
        <x:is>
          <x:t xml:space="preserve">Missing Salary</x:t>
        </x:is>
      </x:c>
      <x:c r="G3" s="2" t="inlineStr">
        <x:is>
          <x:t xml:space="preserve">Invalid Salary Type</x:t>
        </x:is>
      </x:c>
      <x:c r="H3" s="2" t="inlineStr">
        <x:is>
          <x:t xml:space="preserve">Negative Deduction</x:t>
        </x:is>
      </x:c>
      <x:c r="I3" s="2" t="inlineStr">
        <x:is>
          <x:t xml:space="preserve">Net Pay Error</x:t>
        </x:is>
      </x:c>
      <x:c r="J3" s="2" t="inlineStr">
        <x:is>
          <x:t xml:space="preserve">Missing Bank Status</x:t>
        </x:is>
      </x:c>
      <x:c r="K3" s="2" t="inlineStr">
        <x:is>
          <x:t xml:space="preserve">Missing PAN</x:t>
        </x:is>
      </x:c>
      <x:c r="L3" s="2" t="inlineStr">
        <x:is>
          <x:t xml:space="preserve">Invalid Attendance</x:t>
        </x:is>
      </x:c>
      <x:c r="M3" s="2" t="inlineStr">
        <x:is>
          <x:t xml:space="preserve">Invalid Leave</x:t>
        </x:is>
      </x:c>
      <x:c r="N3" s="2" t="inlineStr">
        <x:is>
          <x:t xml:space="preserve">Invalid Payroll Status</x:t>
        </x:is>
      </x:c>
      <x:c r="O3" s="2" t="inlineStr">
        <x:is>
          <x:t xml:space="preserve">Total Flags</x:t>
        </x:is>
      </x:c>
      <x:c r="P3" s="2" t="inlineStr">
        <x:is>
          <x:t xml:space="preserve">Overall Status</x:t>
        </x:is>
      </x:c>
      <x:c r="Q3" s="2" t="inlineStr">
        <x:is>
          <x:t xml:space="preserve">Suggested Action</x:t>
        </x:is>
      </x:c>
      <x:c r="T3" s="2" t="inlineStr">
        <x:is>
          <x:t xml:space="preserve">Clean Records</x:t>
        </x:is>
      </x:c>
      <x:c r="U3" s="2">
        <x:f>COUNTIF(P4:P223,"Clean")</x:f>
        <x:v>177</x:v>
      </x:c>
    </x:row>
    <x:row r="4">
      <x:c r="A4" s="15" t="str">
        <x:f>Raw_HR_Data!A2</x:f>
        <x:v>EMP93810</x:v>
      </x:c>
      <x:c r="B4" s="16" t="str">
        <x:f>Raw_HR_Data!B2</x:f>
        <x:v>Deepika Anderson</x:v>
      </x:c>
      <x:c r="C4" s="16" t="str">
        <x:f>Raw_HR_Data!C2</x:f>
        <x:v>Talent Ops</x:v>
      </x:c>
      <x:c r="D4" s="17" t="str">
        <x:f>IF(COUNTIF(Raw_HR_Data!$A$2:$A$221,A4)&gt;1,"Duplicate","OK")</x:f>
        <x:v>OK</x:v>
      </x:c>
      <x:c r="E4" s="17" t="str">
        <x:f>IF(B4="","Missing Name","OK")</x:f>
        <x:v>OK</x:v>
      </x:c>
      <x:c r="F4" s="17" t="str">
        <x:f>IF(Raw_HR_Data!F2="","Missing Salary","OK")</x:f>
        <x:v>OK</x:v>
      </x:c>
      <x:c r="G4" s="17" t="str">
        <x:f>IF(AND(Raw_HR_Data!F2&lt;&gt;"",NOT(ISNUMBER(Raw_HR_Data!F2))),"Invalid Salary Type","OK")</x:f>
        <x:v>OK</x:v>
      </x:c>
      <x:c r="H4" s="17" t="str">
        <x:f>IF(Raw_HR_Data!I2&lt;0,"Invalid Deduction","OK")</x:f>
        <x:v>OK</x:v>
      </x:c>
      <x:c r="I4" s="17" t="str">
        <x:f>IF(OR(NOT(ISNUMBER(Raw_HR_Data!F2)),NOT(ISNUMBER(Raw_HR_Data!G2)),NOT(ISNUMBER(Raw_HR_Data!H2)),NOT(ISNUMBER(Raw_HR_Data!I2))),"Check Source Data",IF(Raw_HR_Data!J2=Raw_HR_Data!F2+Raw_HR_Data!G2+Raw_HR_Data!H2-Raw_HR_Data!I2,"OK","Net Pay Error"))</x:f>
        <x:v>OK</x:v>
      </x:c>
      <x:c r="J4" s="17" t="str">
        <x:f>IF(Raw_HR_Data!K2="","Missing Bank Status","OK")</x:f>
        <x:v>OK</x:v>
      </x:c>
      <x:c r="K4" s="17" t="str">
        <x:f>IF(Raw_HR_Data!L2="","Missing PAN","OK")</x:f>
        <x:v>OK</x:v>
      </x:c>
      <x:c r="L4" s="17" t="str">
        <x:f>IF(Raw_HR_Data!M2&gt;31,"Invalid Attendance","OK")</x:f>
        <x:v>OK</x:v>
      </x:c>
      <x:c r="M4" s="17" t="str">
        <x:f>IF(OR(Raw_HR_Data!N2&gt;10,Raw_HR_Data!N2&gt;Raw_HR_Data!M2),"Invalid Leave","OK")</x:f>
        <x:v>OK</x:v>
      </x:c>
      <x:c r="N4" s="17" t="str">
        <x:f>IF(OR(Raw_HR_Data!O2="Processed",Raw_HR_Data!O2="Pending",Raw_HR_Data!O2="Hold"),"OK","Invalid Payroll Status")</x:f>
        <x:v>OK</x:v>
      </x:c>
      <x:c r="O4" s="17">
        <x:f>COUNTIF(D4:N4,"&lt;&gt;OK")-COUNTIF(I4,"Check Source Data")+IF(I4="Check Source Data",1,0)</x:f>
        <x:v>0</x:v>
      </x:c>
      <x:c r="P4" s="17" t="str">
        <x:f>IF(O4=0,"Clean","Error Found")</x:f>
        <x:v>Clean</x:v>
      </x:c>
      <x:c r="Q4" s="18" t="str">
        <x:f>IF(P4="Clean","No action needed","Review raw record and update Validated_Data")</x:f>
        <x:v>No action needed</x:v>
      </x:c>
      <x:c r="T4" s="13" t="inlineStr">
        <x:is>
          <x:t xml:space="preserve">Error Rate</x:t>
        </x:is>
      </x:c>
      <x:c r="U4" s="40">
        <x:f>IF(U1=0,0,U2/U1)</x:f>
        <x:v>0.19545454545454546</x:v>
      </x:c>
    </x:row>
    <x:row r="5">
      <x:c r="A5" s="15" t="str">
        <x:f>Raw_HR_Data!A3</x:f>
        <x:v>EMP76237</x:v>
      </x:c>
      <x:c r="B5" s="16" t="str">
        <x:f>Raw_HR_Data!B3</x:f>
        <x:v>Aisha Nair</x:v>
      </x:c>
      <x:c r="C5" s="16" t="str">
        <x:f>Raw_HR_Data!C3</x:f>
        <x:v>Benefits Team</x:v>
      </x:c>
      <x:c r="D5" s="17" t="str">
        <x:f>IF(COUNTIF(Raw_HR_Data!$A$2:$A$221,A5)&gt;1,"Duplicate","OK")</x:f>
        <x:v>OK</x:v>
      </x:c>
      <x:c r="E5" s="17" t="str">
        <x:f>IF(B5="","Missing Name","OK")</x:f>
        <x:v>OK</x:v>
      </x:c>
      <x:c r="F5" s="17" t="str">
        <x:f>IF(Raw_HR_Data!F3="","Missing Salary","OK")</x:f>
        <x:v>OK</x:v>
      </x:c>
      <x:c r="G5" s="17" t="str">
        <x:f>IF(AND(Raw_HR_Data!F3&lt;&gt;"",NOT(ISNUMBER(Raw_HR_Data!F3))),"Invalid Salary Type","OK")</x:f>
        <x:v>OK</x:v>
      </x:c>
      <x:c r="H5" s="17" t="str">
        <x:f>IF(Raw_HR_Data!I3&lt;0,"Invalid Deduction","OK")</x:f>
        <x:v>OK</x:v>
      </x:c>
      <x:c r="I5" s="17" t="str">
        <x:f>IF(OR(NOT(ISNUMBER(Raw_HR_Data!F3)),NOT(ISNUMBER(Raw_HR_Data!G3)),NOT(ISNUMBER(Raw_HR_Data!H3)),NOT(ISNUMBER(Raw_HR_Data!I3))),"Check Source Data",IF(Raw_HR_Data!J3=Raw_HR_Data!F3+Raw_HR_Data!G3+Raw_HR_Data!H3-Raw_HR_Data!I3,"OK","Net Pay Error"))</x:f>
        <x:v>OK</x:v>
      </x:c>
      <x:c r="J5" s="17" t="str">
        <x:f>IF(Raw_HR_Data!K3="","Missing Bank Status","OK")</x:f>
        <x:v>OK</x:v>
      </x:c>
      <x:c r="K5" s="17" t="str">
        <x:f>IF(Raw_HR_Data!L3="","Missing PAN","OK")</x:f>
        <x:v>OK</x:v>
      </x:c>
      <x:c r="L5" s="17" t="str">
        <x:f>IF(Raw_HR_Data!M3&gt;31,"Invalid Attendance","OK")</x:f>
        <x:v>OK</x:v>
      </x:c>
      <x:c r="M5" s="17" t="str">
        <x:f>IF(OR(Raw_HR_Data!N3&gt;10,Raw_HR_Data!N3&gt;Raw_HR_Data!M3),"Invalid Leave","OK")</x:f>
        <x:v>OK</x:v>
      </x:c>
      <x:c r="N5" s="17" t="str">
        <x:f>IF(OR(Raw_HR_Data!O3="Processed",Raw_HR_Data!O3="Pending",Raw_HR_Data!O3="Hold"),"OK","Invalid Payroll Status")</x:f>
        <x:v>OK</x:v>
      </x:c>
      <x:c r="O5" s="17">
        <x:f>COUNTIF(D5:N5,"&lt;&gt;OK")-COUNTIF(I5,"Check Source Data")+IF(I5="Check Source Data",1,0)</x:f>
        <x:v>0</x:v>
      </x:c>
      <x:c r="P5" s="17" t="str">
        <x:f>IF(O5=0,"Clean","Error Found")</x:f>
        <x:v>Clean</x:v>
      </x:c>
      <x:c r="Q5" s="18" t="str">
        <x:f>IF(P5="Clean","No action needed","Review raw record and update Validated_Data")</x:f>
        <x:v>No action needed</x:v>
      </x:c>
    </x:row>
    <x:row r="6">
      <x:c r="A6" s="15" t="str">
        <x:f>Raw_HR_Data!A4</x:f>
        <x:v>EMP54118</x:v>
      </x:c>
      <x:c r="B6" s="16" t="str">
        <x:f>Raw_HR_Data!B4</x:f>
        <x:v>David Brown</x:v>
      </x:c>
      <x:c r="C6" s="16" t="str">
        <x:f>Raw_HR_Data!C4</x:f>
        <x:v>Risk Advisory</x:v>
      </x:c>
      <x:c r="D6" s="17" t="str">
        <x:f>IF(COUNTIF(Raw_HR_Data!$A$2:$A$221,A6)&gt;1,"Duplicate","OK")</x:f>
        <x:v>OK</x:v>
      </x:c>
      <x:c r="E6" s="17" t="str">
        <x:f>IF(B6="","Missing Name","OK")</x:f>
        <x:v>OK</x:v>
      </x:c>
      <x:c r="F6" s="17" t="str">
        <x:f>IF(Raw_HR_Data!F4="","Missing Salary","OK")</x:f>
        <x:v>OK</x:v>
      </x:c>
      <x:c r="G6" s="17" t="str">
        <x:f>IF(AND(Raw_HR_Data!F4&lt;&gt;"",NOT(ISNUMBER(Raw_HR_Data!F4))),"Invalid Salary Type","OK")</x:f>
        <x:v>OK</x:v>
      </x:c>
      <x:c r="H6" s="17" t="str">
        <x:f>IF(Raw_HR_Data!I4&lt;0,"Invalid Deduction","OK")</x:f>
        <x:v>OK</x:v>
      </x:c>
      <x:c r="I6" s="17" t="str">
        <x:f>IF(OR(NOT(ISNUMBER(Raw_HR_Data!F4)),NOT(ISNUMBER(Raw_HR_Data!G4)),NOT(ISNUMBER(Raw_HR_Data!H4)),NOT(ISNUMBER(Raw_HR_Data!I4))),"Check Source Data",IF(Raw_HR_Data!J4=Raw_HR_Data!F4+Raw_HR_Data!G4+Raw_HR_Data!H4-Raw_HR_Data!I4,"OK","Net Pay Error"))</x:f>
        <x:v>OK</x:v>
      </x:c>
      <x:c r="J6" s="17" t="str">
        <x:f>IF(Raw_HR_Data!K4="","Missing Bank Status","OK")</x:f>
        <x:v>OK</x:v>
      </x:c>
      <x:c r="K6" s="17" t="str">
        <x:f>IF(Raw_HR_Data!L4="","Missing PAN","OK")</x:f>
        <x:v>OK</x:v>
      </x:c>
      <x:c r="L6" s="17" t="str">
        <x:f>IF(Raw_HR_Data!M4&gt;31,"Invalid Attendance","OK")</x:f>
        <x:v>OK</x:v>
      </x:c>
      <x:c r="M6" s="17" t="str">
        <x:f>IF(OR(Raw_HR_Data!N4&gt;10,Raw_HR_Data!N4&gt;Raw_HR_Data!M4),"Invalid Leave","OK")</x:f>
        <x:v>OK</x:v>
      </x:c>
      <x:c r="N6" s="17" t="str">
        <x:f>IF(OR(Raw_HR_Data!O4="Processed",Raw_HR_Data!O4="Pending",Raw_HR_Data!O4="Hold"),"OK","Invalid Payroll Status")</x:f>
        <x:v>OK</x:v>
      </x:c>
      <x:c r="O6" s="17">
        <x:f>COUNTIF(D6:N6,"&lt;&gt;OK")-COUNTIF(I6,"Check Source Data")+IF(I6="Check Source Data",1,0)</x:f>
        <x:v>0</x:v>
      </x:c>
      <x:c r="P6" s="17" t="str">
        <x:f>IF(O6=0,"Clean","Error Found")</x:f>
        <x:v>Clean</x:v>
      </x:c>
      <x:c r="Q6" s="18" t="str">
        <x:f>IF(P6="Clean","No action needed","Review raw record and update Validated_Data")</x:f>
        <x:v>No action needed</x:v>
      </x:c>
    </x:row>
    <x:row r="7">
      <x:c r="A7" s="15" t="str">
        <x:f>Raw_HR_Data!A5</x:f>
        <x:v>EMP92397</x:v>
      </x:c>
      <x:c r="B7" s="16" t="str">
        <x:f>Raw_HR_Data!B5</x:f>
        <x:v>Pooja Patel</x:v>
      </x:c>
      <x:c r="C7" s="16" t="str">
        <x:f>Raw_HR_Data!C5</x:f>
        <x:v>Benefits Team</x:v>
      </x:c>
      <x:c r="D7" s="17" t="str">
        <x:f>IF(COUNTIF(Raw_HR_Data!$A$2:$A$221,A7)&gt;1,"Duplicate","OK")</x:f>
        <x:v>OK</x:v>
      </x:c>
      <x:c r="E7" s="17" t="str">
        <x:f>IF(B7="","Missing Name","OK")</x:f>
        <x:v>OK</x:v>
      </x:c>
      <x:c r="F7" s="17" t="str">
        <x:f>IF(Raw_HR_Data!F5="","Missing Salary","OK")</x:f>
        <x:v>OK</x:v>
      </x:c>
      <x:c r="G7" s="17" t="str">
        <x:f>IF(AND(Raw_HR_Data!F5&lt;&gt;"",NOT(ISNUMBER(Raw_HR_Data!F5))),"Invalid Salary Type","OK")</x:f>
        <x:v>OK</x:v>
      </x:c>
      <x:c r="H7" s="17" t="str">
        <x:f>IF(Raw_HR_Data!I5&lt;0,"Invalid Deduction","OK")</x:f>
        <x:v>OK</x:v>
      </x:c>
      <x:c r="I7" s="17" t="str">
        <x:f>IF(OR(NOT(ISNUMBER(Raw_HR_Data!F5)),NOT(ISNUMBER(Raw_HR_Data!G5)),NOT(ISNUMBER(Raw_HR_Data!H5)),NOT(ISNUMBER(Raw_HR_Data!I5))),"Check Source Data",IF(Raw_HR_Data!J5=Raw_HR_Data!F5+Raw_HR_Data!G5+Raw_HR_Data!H5-Raw_HR_Data!I5,"OK","Net Pay Error"))</x:f>
        <x:v>OK</x:v>
      </x:c>
      <x:c r="J7" s="17" t="str">
        <x:f>IF(Raw_HR_Data!K5="","Missing Bank Status","OK")</x:f>
        <x:v>OK</x:v>
      </x:c>
      <x:c r="K7" s="17" t="str">
        <x:f>IF(Raw_HR_Data!L5="","Missing PAN","OK")</x:f>
        <x:v>OK</x:v>
      </x:c>
      <x:c r="L7" s="17" t="str">
        <x:f>IF(Raw_HR_Data!M5&gt;31,"Invalid Attendance","OK")</x:f>
        <x:v>OK</x:v>
      </x:c>
      <x:c r="M7" s="17" t="str">
        <x:f>IF(OR(Raw_HR_Data!N5&gt;10,Raw_HR_Data!N5&gt;Raw_HR_Data!M5),"Invalid Leave","OK")</x:f>
        <x:v>OK</x:v>
      </x:c>
      <x:c r="N7" s="17" t="str">
        <x:f>IF(OR(Raw_HR_Data!O5="Processed",Raw_HR_Data!O5="Pending",Raw_HR_Data!O5="Hold"),"OK","Invalid Payroll Status")</x:f>
        <x:v>OK</x:v>
      </x:c>
      <x:c r="O7" s="17">
        <x:f>COUNTIF(D7:N7,"&lt;&gt;OK")-COUNTIF(I7,"Check Source Data")+IF(I7="Check Source Data",1,0)</x:f>
        <x:v>0</x:v>
      </x:c>
      <x:c r="P7" s="17" t="str">
        <x:f>IF(O7=0,"Clean","Error Found")</x:f>
        <x:v>Clean</x:v>
      </x:c>
      <x:c r="Q7" s="18" t="str">
        <x:f>IF(P7="Clean","No action needed","Review raw record and update Validated_Data")</x:f>
        <x:v>No action needed</x:v>
      </x:c>
    </x:row>
    <x:row r="8">
      <x:c r="A8" s="15" t="str">
        <x:f>Raw_HR_Data!A6</x:f>
        <x:v>EMP57819</x:v>
      </x:c>
      <x:c r="B8" s="16" t="str">
        <x:f>Raw_HR_Data!B6</x:f>
        <x:v>Ethan Kumar</x:v>
      </x:c>
      <x:c r="C8" s="16" t="str">
        <x:f>Raw_HR_Data!C6</x:f>
        <x:v>IT Support</x:v>
      </x:c>
      <x:c r="D8" s="17" t="str">
        <x:f>IF(COUNTIF(Raw_HR_Data!$A$2:$A$221,A8)&gt;1,"Duplicate","OK")</x:f>
        <x:v>OK</x:v>
      </x:c>
      <x:c r="E8" s="17" t="str">
        <x:f>IF(B8="","Missing Name","OK")</x:f>
        <x:v>OK</x:v>
      </x:c>
      <x:c r="F8" s="17" t="str">
        <x:f>IF(Raw_HR_Data!F6="","Missing Salary","OK")</x:f>
        <x:v>OK</x:v>
      </x:c>
      <x:c r="G8" s="17" t="str">
        <x:f>IF(AND(Raw_HR_Data!F6&lt;&gt;"",NOT(ISNUMBER(Raw_HR_Data!F6))),"Invalid Salary Type","OK")</x:f>
        <x:v>OK</x:v>
      </x:c>
      <x:c r="H8" s="17" t="str">
        <x:f>IF(Raw_HR_Data!I6&lt;0,"Invalid Deduction","OK")</x:f>
        <x:v>OK</x:v>
      </x:c>
      <x:c r="I8" s="17" t="str">
        <x:f>IF(OR(NOT(ISNUMBER(Raw_HR_Data!F6)),NOT(ISNUMBER(Raw_HR_Data!G6)),NOT(ISNUMBER(Raw_HR_Data!H6)),NOT(ISNUMBER(Raw_HR_Data!I6))),"Check Source Data",IF(Raw_HR_Data!J6=Raw_HR_Data!F6+Raw_HR_Data!G6+Raw_HR_Data!H6-Raw_HR_Data!I6,"OK","Net Pay Error"))</x:f>
        <x:v>OK</x:v>
      </x:c>
      <x:c r="J8" s="17" t="str">
        <x:f>IF(Raw_HR_Data!K6="","Missing Bank Status","OK")</x:f>
        <x:v>OK</x:v>
      </x:c>
      <x:c r="K8" s="17" t="str">
        <x:f>IF(Raw_HR_Data!L6="","Missing PAN","OK")</x:f>
        <x:v>OK</x:v>
      </x:c>
      <x:c r="L8" s="17" t="str">
        <x:f>IF(Raw_HR_Data!M6&gt;31,"Invalid Attendance","OK")</x:f>
        <x:v>OK</x:v>
      </x:c>
      <x:c r="M8" s="17" t="str">
        <x:f>IF(OR(Raw_HR_Data!N6&gt;10,Raw_HR_Data!N6&gt;Raw_HR_Data!M6),"Invalid Leave","OK")</x:f>
        <x:v>OK</x:v>
      </x:c>
      <x:c r="N8" s="17" t="str">
        <x:f>IF(OR(Raw_HR_Data!O6="Processed",Raw_HR_Data!O6="Pending",Raw_HR_Data!O6="Hold"),"OK","Invalid Payroll Status")</x:f>
        <x:v>OK</x:v>
      </x:c>
      <x:c r="O8" s="17">
        <x:f>COUNTIF(D8:N8,"&lt;&gt;OK")-COUNTIF(I8,"Check Source Data")+IF(I8="Check Source Data",1,0)</x:f>
        <x:v>0</x:v>
      </x:c>
      <x:c r="P8" s="17" t="str">
        <x:f>IF(O8=0,"Clean","Error Found")</x:f>
        <x:v>Clean</x:v>
      </x:c>
      <x:c r="Q8" s="18" t="str">
        <x:f>IF(P8="Clean","No action needed","Review raw record and update Validated_Data")</x:f>
        <x:v>No action needed</x:v>
      </x:c>
    </x:row>
    <x:row r="9">
      <x:c r="A9" s="15" t="str">
        <x:f>Raw_HR_Data!A7</x:f>
        <x:v>EMP93886</x:v>
      </x:c>
      <x:c r="B9" s="16" t="str">
        <x:f>Raw_HR_Data!B7</x:f>
        <x:v>James Reddy</x:v>
      </x:c>
      <x:c r="C9" s="16" t="str">
        <x:f>Raw_HR_Data!C7</x:f>
        <x:v>IT Support</x:v>
      </x:c>
      <x:c r="D9" s="17" t="str">
        <x:f>IF(COUNTIF(Raw_HR_Data!$A$2:$A$221,A9)&gt;1,"Duplicate","OK")</x:f>
        <x:v>OK</x:v>
      </x:c>
      <x:c r="E9" s="17" t="str">
        <x:f>IF(B9="","Missing Name","OK")</x:f>
        <x:v>OK</x:v>
      </x:c>
      <x:c r="F9" s="17" t="str">
        <x:f>IF(Raw_HR_Data!F7="","Missing Salary","OK")</x:f>
        <x:v>OK</x:v>
      </x:c>
      <x:c r="G9" s="17" t="str">
        <x:f>IF(AND(Raw_HR_Data!F7&lt;&gt;"",NOT(ISNUMBER(Raw_HR_Data!F7))),"Invalid Salary Type","OK")</x:f>
        <x:v>OK</x:v>
      </x:c>
      <x:c r="H9" s="17" t="str">
        <x:f>IF(Raw_HR_Data!I7&lt;0,"Invalid Deduction","OK")</x:f>
        <x:v>OK</x:v>
      </x:c>
      <x:c r="I9" s="17" t="str">
        <x:f>IF(OR(NOT(ISNUMBER(Raw_HR_Data!F7)),NOT(ISNUMBER(Raw_HR_Data!G7)),NOT(ISNUMBER(Raw_HR_Data!H7)),NOT(ISNUMBER(Raw_HR_Data!I7))),"Check Source Data",IF(Raw_HR_Data!J7=Raw_HR_Data!F7+Raw_HR_Data!G7+Raw_HR_Data!H7-Raw_HR_Data!I7,"OK","Net Pay Error"))</x:f>
        <x:v>OK</x:v>
      </x:c>
      <x:c r="J9" s="17" t="str">
        <x:f>IF(Raw_HR_Data!K7="","Missing Bank Status","OK")</x:f>
        <x:v>OK</x:v>
      </x:c>
      <x:c r="K9" s="17" t="str">
        <x:f>IF(Raw_HR_Data!L7="","Missing PAN","OK")</x:f>
        <x:v>OK</x:v>
      </x:c>
      <x:c r="L9" s="17" t="str">
        <x:f>IF(Raw_HR_Data!M7&gt;31,"Invalid Attendance","OK")</x:f>
        <x:v>OK</x:v>
      </x:c>
      <x:c r="M9" s="17" t="str">
        <x:f>IF(OR(Raw_HR_Data!N7&gt;10,Raw_HR_Data!N7&gt;Raw_HR_Data!M7),"Invalid Leave","OK")</x:f>
        <x:v>OK</x:v>
      </x:c>
      <x:c r="N9" s="17" t="str">
        <x:f>IF(OR(Raw_HR_Data!O7="Processed",Raw_HR_Data!O7="Pending",Raw_HR_Data!O7="Hold"),"OK","Invalid Payroll Status")</x:f>
        <x:v>OK</x:v>
      </x:c>
      <x:c r="O9" s="17">
        <x:f>COUNTIF(D9:N9,"&lt;&gt;OK")-COUNTIF(I9,"Check Source Data")+IF(I9="Check Source Data",1,0)</x:f>
        <x:v>0</x:v>
      </x:c>
      <x:c r="P9" s="17" t="str">
        <x:f>IF(O9=0,"Clean","Error Found")</x:f>
        <x:v>Clean</x:v>
      </x:c>
      <x:c r="Q9" s="18" t="str">
        <x:f>IF(P9="Clean","No action needed","Review raw record and update Validated_Data")</x:f>
        <x:v>No action needed</x:v>
      </x:c>
    </x:row>
    <x:row r="10">
      <x:c r="A10" s="15" t="str">
        <x:f>Raw_HR_Data!A8</x:f>
        <x:v>EMP94259</x:v>
      </x:c>
      <x:c r="B10" s="16" t="str">
        <x:f>Raw_HR_Data!B8</x:f>
        <x:v>Vikram Desai</x:v>
      </x:c>
      <x:c r="C10" s="16" t="str">
        <x:f>Raw_HR_Data!C8</x:f>
        <x:v>Talent Ops</x:v>
      </x:c>
      <x:c r="D10" s="17" t="str">
        <x:f>IF(COUNTIF(Raw_HR_Data!$A$2:$A$221,A10)&gt;1,"Duplicate","OK")</x:f>
        <x:v>OK</x:v>
      </x:c>
      <x:c r="E10" s="17" t="str">
        <x:f>IF(B10="","Missing Name","OK")</x:f>
        <x:v>OK</x:v>
      </x:c>
      <x:c r="F10" s="17" t="str">
        <x:f>IF(Raw_HR_Data!F8="","Missing Salary","OK")</x:f>
        <x:v>OK</x:v>
      </x:c>
      <x:c r="G10" s="17" t="str">
        <x:f>IF(AND(Raw_HR_Data!F8&lt;&gt;"",NOT(ISNUMBER(Raw_HR_Data!F8))),"Invalid Salary Type","OK")</x:f>
        <x:v>OK</x:v>
      </x:c>
      <x:c r="H10" s="17" t="str">
        <x:f>IF(Raw_HR_Data!I8&lt;0,"Invalid Deduction","OK")</x:f>
        <x:v>OK</x:v>
      </x:c>
      <x:c r="I10" s="17" t="str">
        <x:f>IF(OR(NOT(ISNUMBER(Raw_HR_Data!F8)),NOT(ISNUMBER(Raw_HR_Data!G8)),NOT(ISNUMBER(Raw_HR_Data!H8)),NOT(ISNUMBER(Raw_HR_Data!I8))),"Check Source Data",IF(Raw_HR_Data!J8=Raw_HR_Data!F8+Raw_HR_Data!G8+Raw_HR_Data!H8-Raw_HR_Data!I8,"OK","Net Pay Error"))</x:f>
        <x:v>OK</x:v>
      </x:c>
      <x:c r="J10" s="17" t="str">
        <x:f>IF(Raw_HR_Data!K8="","Missing Bank Status","OK")</x:f>
        <x:v>OK</x:v>
      </x:c>
      <x:c r="K10" s="17" t="str">
        <x:f>IF(Raw_HR_Data!L8="","Missing PAN","OK")</x:f>
        <x:v>OK</x:v>
      </x:c>
      <x:c r="L10" s="17" t="str">
        <x:f>IF(Raw_HR_Data!M8&gt;31,"Invalid Attendance","OK")</x:f>
        <x:v>OK</x:v>
      </x:c>
      <x:c r="M10" s="17" t="str">
        <x:f>IF(OR(Raw_HR_Data!N8&gt;10,Raw_HR_Data!N8&gt;Raw_HR_Data!M8),"Invalid Leave","OK")</x:f>
        <x:v>OK</x:v>
      </x:c>
      <x:c r="N10" s="17" t="str">
        <x:f>IF(OR(Raw_HR_Data!O8="Processed",Raw_HR_Data!O8="Pending",Raw_HR_Data!O8="Hold"),"OK","Invalid Payroll Status")</x:f>
        <x:v>OK</x:v>
      </x:c>
      <x:c r="O10" s="17">
        <x:f>COUNTIF(D10:N10,"&lt;&gt;OK")-COUNTIF(I10,"Check Source Data")+IF(I10="Check Source Data",1,0)</x:f>
        <x:v>0</x:v>
      </x:c>
      <x:c r="P10" s="17" t="str">
        <x:f>IF(O10=0,"Clean","Error Found")</x:f>
        <x:v>Clean</x:v>
      </x:c>
      <x:c r="Q10" s="18" t="str">
        <x:f>IF(P10="Clean","No action needed","Review raw record and update Validated_Data")</x:f>
        <x:v>No action needed</x:v>
      </x:c>
    </x:row>
    <x:row r="11">
      <x:c r="A11" s="15" t="str">
        <x:f>Raw_HR_Data!A9</x:f>
        <x:v>EMP21915</x:v>
      </x:c>
      <x:c r="B11" s="16" t="str">
        <x:f>Raw_HR_Data!B9</x:f>
        <x:v>Amira Thompson</x:v>
      </x:c>
      <x:c r="C11" s="16" t="str">
        <x:f>Raw_HR_Data!C9</x:f>
        <x:v>HR Shared Services</x:v>
      </x:c>
      <x:c r="D11" s="17" t="str">
        <x:f>IF(COUNTIF(Raw_HR_Data!$A$2:$A$221,A11)&gt;1,"Duplicate","OK")</x:f>
        <x:v>OK</x:v>
      </x:c>
      <x:c r="E11" s="17" t="str">
        <x:f>IF(B11="","Missing Name","OK")</x:f>
        <x:v>OK</x:v>
      </x:c>
      <x:c r="F11" s="17" t="str">
        <x:f>IF(Raw_HR_Data!F9="","Missing Salary","OK")</x:f>
        <x:v>OK</x:v>
      </x:c>
      <x:c r="G11" s="17" t="str">
        <x:f>IF(AND(Raw_HR_Data!F9&lt;&gt;"",NOT(ISNUMBER(Raw_HR_Data!F9))),"Invalid Salary Type","OK")</x:f>
        <x:v>OK</x:v>
      </x:c>
      <x:c r="H11" s="17" t="str">
        <x:f>IF(Raw_HR_Data!I9&lt;0,"Invalid Deduction","OK")</x:f>
        <x:v>OK</x:v>
      </x:c>
      <x:c r="I11" s="17" t="str">
        <x:f>IF(OR(NOT(ISNUMBER(Raw_HR_Data!F9)),NOT(ISNUMBER(Raw_HR_Data!G9)),NOT(ISNUMBER(Raw_HR_Data!H9)),NOT(ISNUMBER(Raw_HR_Data!I9))),"Check Source Data",IF(Raw_HR_Data!J9=Raw_HR_Data!F9+Raw_HR_Data!G9+Raw_HR_Data!H9-Raw_HR_Data!I9,"OK","Net Pay Error"))</x:f>
        <x:v>OK</x:v>
      </x:c>
      <x:c r="J11" s="17" t="str">
        <x:f>IF(Raw_HR_Data!K9="","Missing Bank Status","OK")</x:f>
        <x:v>OK</x:v>
      </x:c>
      <x:c r="K11" s="17" t="str">
        <x:f>IF(Raw_HR_Data!L9="","Missing PAN","OK")</x:f>
        <x:v>OK</x:v>
      </x:c>
      <x:c r="L11" s="17" t="str">
        <x:f>IF(Raw_HR_Data!M9&gt;31,"Invalid Attendance","OK")</x:f>
        <x:v>OK</x:v>
      </x:c>
      <x:c r="M11" s="17" t="str">
        <x:f>IF(OR(Raw_HR_Data!N9&gt;10,Raw_HR_Data!N9&gt;Raw_HR_Data!M9),"Invalid Leave","OK")</x:f>
        <x:v>OK</x:v>
      </x:c>
      <x:c r="N11" s="17" t="str">
        <x:f>IF(OR(Raw_HR_Data!O9="Processed",Raw_HR_Data!O9="Pending",Raw_HR_Data!O9="Hold"),"OK","Invalid Payroll Status")</x:f>
        <x:v>OK</x:v>
      </x:c>
      <x:c r="O11" s="17">
        <x:f>COUNTIF(D11:N11,"&lt;&gt;OK")-COUNTIF(I11,"Check Source Data")+IF(I11="Check Source Data",1,0)</x:f>
        <x:v>0</x:v>
      </x:c>
      <x:c r="P11" s="17" t="str">
        <x:f>IF(O11=0,"Clean","Error Found")</x:f>
        <x:v>Clean</x:v>
      </x:c>
      <x:c r="Q11" s="18" t="str">
        <x:f>IF(P11="Clean","No action needed","Review raw record and update Validated_Data")</x:f>
        <x:v>No action needed</x:v>
      </x:c>
    </x:row>
    <x:row r="12">
      <x:c r="A12" s="15" t="str">
        <x:f>Raw_HR_Data!A10</x:f>
        <x:v>EMP11504</x:v>
      </x:c>
      <x:c r="B12" s="16" t="str">
        <x:f>Raw_HR_Data!B10</x:f>
        <x:v>Deepika Reddy</x:v>
      </x:c>
      <x:c r="C12" s="16" t="str">
        <x:f>Raw_HR_Data!C10</x:f>
        <x:v>Tax Support</x:v>
      </x:c>
      <x:c r="D12" s="17" t="str">
        <x:f>IF(COUNTIF(Raw_HR_Data!$A$2:$A$221,A12)&gt;1,"Duplicate","OK")</x:f>
        <x:v>OK</x:v>
      </x:c>
      <x:c r="E12" s="17" t="str">
        <x:f>IF(B12="","Missing Name","OK")</x:f>
        <x:v>OK</x:v>
      </x:c>
      <x:c r="F12" s="17" t="str">
        <x:f>IF(Raw_HR_Data!F10="","Missing Salary","OK")</x:f>
        <x:v>OK</x:v>
      </x:c>
      <x:c r="G12" s="17" t="str">
        <x:f>IF(AND(Raw_HR_Data!F10&lt;&gt;"",NOT(ISNUMBER(Raw_HR_Data!F10))),"Invalid Salary Type","OK")</x:f>
        <x:v>OK</x:v>
      </x:c>
      <x:c r="H12" s="17" t="str">
        <x:f>IF(Raw_HR_Data!I10&lt;0,"Invalid Deduction","OK")</x:f>
        <x:v>OK</x:v>
      </x:c>
      <x:c r="I12" s="17" t="str">
        <x:f>IF(OR(NOT(ISNUMBER(Raw_HR_Data!F10)),NOT(ISNUMBER(Raw_HR_Data!G10)),NOT(ISNUMBER(Raw_HR_Data!H10)),NOT(ISNUMBER(Raw_HR_Data!I10))),"Check Source Data",IF(Raw_HR_Data!J10=Raw_HR_Data!F10+Raw_HR_Data!G10+Raw_HR_Data!H10-Raw_HR_Data!I10,"OK","Net Pay Error"))</x:f>
        <x:v>OK</x:v>
      </x:c>
      <x:c r="J12" s="17" t="str">
        <x:f>IF(Raw_HR_Data!K10="","Missing Bank Status","OK")</x:f>
        <x:v>OK</x:v>
      </x:c>
      <x:c r="K12" s="17" t="str">
        <x:f>IF(Raw_HR_Data!L10="","Missing PAN","OK")</x:f>
        <x:v>OK</x:v>
      </x:c>
      <x:c r="L12" s="17" t="str">
        <x:f>IF(Raw_HR_Data!M10&gt;31,"Invalid Attendance","OK")</x:f>
        <x:v>OK</x:v>
      </x:c>
      <x:c r="M12" s="17" t="str">
        <x:f>IF(OR(Raw_HR_Data!N10&gt;10,Raw_HR_Data!N10&gt;Raw_HR_Data!M10),"Invalid Leave","OK")</x:f>
        <x:v>OK</x:v>
      </x:c>
      <x:c r="N12" s="17" t="str">
        <x:f>IF(OR(Raw_HR_Data!O10="Processed",Raw_HR_Data!O10="Pending",Raw_HR_Data!O10="Hold"),"OK","Invalid Payroll Status")</x:f>
        <x:v>OK</x:v>
      </x:c>
      <x:c r="O12" s="17">
        <x:f>COUNTIF(D12:N12,"&lt;&gt;OK")-COUNTIF(I12,"Check Source Data")+IF(I12="Check Source Data",1,0)</x:f>
        <x:v>0</x:v>
      </x:c>
      <x:c r="P12" s="17" t="str">
        <x:f>IF(O12=0,"Clean","Error Found")</x:f>
        <x:v>Clean</x:v>
      </x:c>
      <x:c r="Q12" s="18" t="str">
        <x:f>IF(P12="Clean","No action needed","Review raw record and update Validated_Data")</x:f>
        <x:v>No action needed</x:v>
      </x:c>
    </x:row>
    <x:row r="13">
      <x:c r="A13" s="15" t="str">
        <x:f>Raw_HR_Data!A11</x:f>
        <x:v>EMP23947</x:v>
      </x:c>
      <x:c r="B13" s="16" t="str">
        <x:f>Raw_HR_Data!B11</x:f>
        <x:v>Meera Thomas</x:v>
      </x:c>
      <x:c r="C13" s="16" t="str">
        <x:f>Raw_HR_Data!C11</x:f>
        <x:v>Tax Support</x:v>
      </x:c>
      <x:c r="D13" s="17" t="str">
        <x:f>IF(COUNTIF(Raw_HR_Data!$A$2:$A$221,A13)&gt;1,"Duplicate","OK")</x:f>
        <x:v>OK</x:v>
      </x:c>
      <x:c r="E13" s="17" t="str">
        <x:f>IF(B13="","Missing Name","OK")</x:f>
        <x:v>OK</x:v>
      </x:c>
      <x:c r="F13" s="17" t="str">
        <x:f>IF(Raw_HR_Data!F11="","Missing Salary","OK")</x:f>
        <x:v>OK</x:v>
      </x:c>
      <x:c r="G13" s="17" t="str">
        <x:f>IF(AND(Raw_HR_Data!F11&lt;&gt;"",NOT(ISNUMBER(Raw_HR_Data!F11))),"Invalid Salary Type","OK")</x:f>
        <x:v>OK</x:v>
      </x:c>
      <x:c r="H13" s="17" t="str">
        <x:f>IF(Raw_HR_Data!I11&lt;0,"Invalid Deduction","OK")</x:f>
        <x:v>OK</x:v>
      </x:c>
      <x:c r="I13" s="17" t="str">
        <x:f>IF(OR(NOT(ISNUMBER(Raw_HR_Data!F11)),NOT(ISNUMBER(Raw_HR_Data!G11)),NOT(ISNUMBER(Raw_HR_Data!H11)),NOT(ISNUMBER(Raw_HR_Data!I11))),"Check Source Data",IF(Raw_HR_Data!J11=Raw_HR_Data!F11+Raw_HR_Data!G11+Raw_HR_Data!H11-Raw_HR_Data!I11,"OK","Net Pay Error"))</x:f>
        <x:v>OK</x:v>
      </x:c>
      <x:c r="J13" s="17" t="str">
        <x:f>IF(Raw_HR_Data!K11="","Missing Bank Status","OK")</x:f>
        <x:v>OK</x:v>
      </x:c>
      <x:c r="K13" s="17" t="str">
        <x:f>IF(Raw_HR_Data!L11="","Missing PAN","OK")</x:f>
        <x:v>OK</x:v>
      </x:c>
      <x:c r="L13" s="17" t="str">
        <x:f>IF(Raw_HR_Data!M11&gt;31,"Invalid Attendance","OK")</x:f>
        <x:v>OK</x:v>
      </x:c>
      <x:c r="M13" s="17" t="str">
        <x:f>IF(OR(Raw_HR_Data!N11&gt;10,Raw_HR_Data!N11&gt;Raw_HR_Data!M11),"Invalid Leave","OK")</x:f>
        <x:v>OK</x:v>
      </x:c>
      <x:c r="N13" s="17" t="str">
        <x:f>IF(OR(Raw_HR_Data!O11="Processed",Raw_HR_Data!O11="Pending",Raw_HR_Data!O11="Hold"),"OK","Invalid Payroll Status")</x:f>
        <x:v>OK</x:v>
      </x:c>
      <x:c r="O13" s="17">
        <x:f>COUNTIF(D13:N13,"&lt;&gt;OK")-COUNTIF(I13,"Check Source Data")+IF(I13="Check Source Data",1,0)</x:f>
        <x:v>0</x:v>
      </x:c>
      <x:c r="P13" s="17" t="str">
        <x:f>IF(O13=0,"Clean","Error Found")</x:f>
        <x:v>Clean</x:v>
      </x:c>
      <x:c r="Q13" s="18" t="str">
        <x:f>IF(P13="Clean","No action needed","Review raw record and update Validated_Data")</x:f>
        <x:v>No action needed</x:v>
      </x:c>
    </x:row>
    <x:row r="14">
      <x:c r="A14" s="15" t="str">
        <x:f>Raw_HR_Data!A12</x:f>
        <x:v>EMP50306</x:v>
      </x:c>
      <x:c r="B14" s="16" t="str">
        <x:f>Raw_HR_Data!B12</x:f>
        <x:v>Kavya Bose</x:v>
      </x:c>
      <x:c r="C14" s="16" t="str">
        <x:f>Raw_HR_Data!C12</x:f>
        <x:v>Benefits Team</x:v>
      </x:c>
      <x:c r="D14" s="17" t="str">
        <x:f>IF(COUNTIF(Raw_HR_Data!$A$2:$A$221,A14)&gt;1,"Duplicate","OK")</x:f>
        <x:v>OK</x:v>
      </x:c>
      <x:c r="E14" s="17" t="str">
        <x:f>IF(B14="","Missing Name","OK")</x:f>
        <x:v>OK</x:v>
      </x:c>
      <x:c r="F14" s="17" t="str">
        <x:f>IF(Raw_HR_Data!F12="","Missing Salary","OK")</x:f>
        <x:v>OK</x:v>
      </x:c>
      <x:c r="G14" s="17" t="str">
        <x:f>IF(AND(Raw_HR_Data!F12&lt;&gt;"",NOT(ISNUMBER(Raw_HR_Data!F12))),"Invalid Salary Type","OK")</x:f>
        <x:v>OK</x:v>
      </x:c>
      <x:c r="H14" s="17" t="str">
        <x:f>IF(Raw_HR_Data!I12&lt;0,"Invalid Deduction","OK")</x:f>
        <x:v>OK</x:v>
      </x:c>
      <x:c r="I14" s="17" t="str">
        <x:f>IF(OR(NOT(ISNUMBER(Raw_HR_Data!F12)),NOT(ISNUMBER(Raw_HR_Data!G12)),NOT(ISNUMBER(Raw_HR_Data!H12)),NOT(ISNUMBER(Raw_HR_Data!I12))),"Check Source Data",IF(Raw_HR_Data!J12=Raw_HR_Data!F12+Raw_HR_Data!G12+Raw_HR_Data!H12-Raw_HR_Data!I12,"OK","Net Pay Error"))</x:f>
        <x:v>OK</x:v>
      </x:c>
      <x:c r="J14" s="17" t="str">
        <x:f>IF(Raw_HR_Data!K12="","Missing Bank Status","OK")</x:f>
        <x:v>OK</x:v>
      </x:c>
      <x:c r="K14" s="17" t="str">
        <x:f>IF(Raw_HR_Data!L12="","Missing PAN","OK")</x:f>
        <x:v>OK</x:v>
      </x:c>
      <x:c r="L14" s="17" t="str">
        <x:f>IF(Raw_HR_Data!M12&gt;31,"Invalid Attendance","OK")</x:f>
        <x:v>OK</x:v>
      </x:c>
      <x:c r="M14" s="17" t="str">
        <x:f>IF(OR(Raw_HR_Data!N12&gt;10,Raw_HR_Data!N12&gt;Raw_HR_Data!M12),"Invalid Leave","OK")</x:f>
        <x:v>Invalid Leave</x:v>
      </x:c>
      <x:c r="N14" s="17" t="str">
        <x:f>IF(OR(Raw_HR_Data!O12="Processed",Raw_HR_Data!O12="Pending",Raw_HR_Data!O12="Hold"),"OK","Invalid Payroll Status")</x:f>
        <x:v>OK</x:v>
      </x:c>
      <x:c r="O14" s="17">
        <x:f>COUNTIF(D14:N14,"&lt;&gt;OK")-COUNTIF(I14,"Check Source Data")+IF(I14="Check Source Data",1,0)</x:f>
        <x:v>1</x:v>
      </x:c>
      <x:c r="P14" s="17" t="str">
        <x:f>IF(O14=0,"Clean","Error Found")</x:f>
        <x:v>Error Found</x:v>
      </x:c>
      <x:c r="Q14" s="18" t="str">
        <x:f>IF(P14="Clean","No action needed","Review raw record and update Validated_Data")</x:f>
        <x:v>Review raw record and update Validated_Data</x:v>
      </x:c>
    </x:row>
    <x:row r="15">
      <x:c r="A15" s="15" t="str">
        <x:f>Raw_HR_Data!A13</x:f>
        <x:v>EMP89507</x:v>
      </x:c>
      <x:c r="B15" s="16" t="str">
        <x:f>Raw_HR_Data!B13</x:f>
        <x:v>Sneha Harris</x:v>
      </x:c>
      <x:c r="C15" s="16" t="str">
        <x:f>Raw_HR_Data!C13</x:f>
        <x:v>Tax Support</x:v>
      </x:c>
      <x:c r="D15" s="17" t="str">
        <x:f>IF(COUNTIF(Raw_HR_Data!$A$2:$A$221,A15)&gt;1,"Duplicate","OK")</x:f>
        <x:v>OK</x:v>
      </x:c>
      <x:c r="E15" s="17" t="str">
        <x:f>IF(B15="","Missing Name","OK")</x:f>
        <x:v>OK</x:v>
      </x:c>
      <x:c r="F15" s="17" t="str">
        <x:f>IF(Raw_HR_Data!F13="","Missing Salary","OK")</x:f>
        <x:v>OK</x:v>
      </x:c>
      <x:c r="G15" s="17" t="str">
        <x:f>IF(AND(Raw_HR_Data!F13&lt;&gt;"",NOT(ISNUMBER(Raw_HR_Data!F13))),"Invalid Salary Type","OK")</x:f>
        <x:v>OK</x:v>
      </x:c>
      <x:c r="H15" s="17" t="str">
        <x:f>IF(Raw_HR_Data!I13&lt;0,"Invalid Deduction","OK")</x:f>
        <x:v>OK</x:v>
      </x:c>
      <x:c r="I15" s="17" t="str">
        <x:f>IF(OR(NOT(ISNUMBER(Raw_HR_Data!F13)),NOT(ISNUMBER(Raw_HR_Data!G13)),NOT(ISNUMBER(Raw_HR_Data!H13)),NOT(ISNUMBER(Raw_HR_Data!I13))),"Check Source Data",IF(Raw_HR_Data!J13=Raw_HR_Data!F13+Raw_HR_Data!G13+Raw_HR_Data!H13-Raw_HR_Data!I13,"OK","Net Pay Error"))</x:f>
        <x:v>OK</x:v>
      </x:c>
      <x:c r="J15" s="17" t="str">
        <x:f>IF(Raw_HR_Data!K13="","Missing Bank Status","OK")</x:f>
        <x:v>OK</x:v>
      </x:c>
      <x:c r="K15" s="17" t="str">
        <x:f>IF(Raw_HR_Data!L13="","Missing PAN","OK")</x:f>
        <x:v>OK</x:v>
      </x:c>
      <x:c r="L15" s="17" t="str">
        <x:f>IF(Raw_HR_Data!M13&gt;31,"Invalid Attendance","OK")</x:f>
        <x:v>OK</x:v>
      </x:c>
      <x:c r="M15" s="17" t="str">
        <x:f>IF(OR(Raw_HR_Data!N13&gt;10,Raw_HR_Data!N13&gt;Raw_HR_Data!M13),"Invalid Leave","OK")</x:f>
        <x:v>OK</x:v>
      </x:c>
      <x:c r="N15" s="17" t="str">
        <x:f>IF(OR(Raw_HR_Data!O13="Processed",Raw_HR_Data!O13="Pending",Raw_HR_Data!O13="Hold"),"OK","Invalid Payroll Status")</x:f>
        <x:v>OK</x:v>
      </x:c>
      <x:c r="O15" s="17">
        <x:f>COUNTIF(D15:N15,"&lt;&gt;OK")-COUNTIF(I15,"Check Source Data")+IF(I15="Check Source Data",1,0)</x:f>
        <x:v>0</x:v>
      </x:c>
      <x:c r="P15" s="17" t="str">
        <x:f>IF(O15=0,"Clean","Error Found")</x:f>
        <x:v>Clean</x:v>
      </x:c>
      <x:c r="Q15" s="18" t="str">
        <x:f>IF(P15="Clean","No action needed","Review raw record and update Validated_Data")</x:f>
        <x:v>No action needed</x:v>
      </x:c>
    </x:row>
    <x:row r="16">
      <x:c r="A16" s="15" t="str">
        <x:f>Raw_HR_Data!A14</x:f>
        <x:v>EMP12757</x:v>
      </x:c>
      <x:c r="B16" s="16" t="str">
        <x:f>Raw_HR_Data!B14</x:f>
        <x:v>James Patel</x:v>
      </x:c>
      <x:c r="C16" s="16" t="str">
        <x:f>Raw_HR_Data!C14</x:f>
        <x:v>Benefits Team</x:v>
      </x:c>
      <x:c r="D16" s="17" t="str">
        <x:f>IF(COUNTIF(Raw_HR_Data!$A$2:$A$221,A16)&gt;1,"Duplicate","OK")</x:f>
        <x:v>OK</x:v>
      </x:c>
      <x:c r="E16" s="17" t="str">
        <x:f>IF(B16="","Missing Name","OK")</x:f>
        <x:v>OK</x:v>
      </x:c>
      <x:c r="F16" s="17" t="str">
        <x:f>IF(Raw_HR_Data!F14="","Missing Salary","OK")</x:f>
        <x:v>OK</x:v>
      </x:c>
      <x:c r="G16" s="17" t="str">
        <x:f>IF(AND(Raw_HR_Data!F14&lt;&gt;"",NOT(ISNUMBER(Raw_HR_Data!F14))),"Invalid Salary Type","OK")</x:f>
        <x:v>OK</x:v>
      </x:c>
      <x:c r="H16" s="17" t="str">
        <x:f>IF(Raw_HR_Data!I14&lt;0,"Invalid Deduction","OK")</x:f>
        <x:v>OK</x:v>
      </x:c>
      <x:c r="I16" s="17" t="str">
        <x:f>IF(OR(NOT(ISNUMBER(Raw_HR_Data!F14)),NOT(ISNUMBER(Raw_HR_Data!G14)),NOT(ISNUMBER(Raw_HR_Data!H14)),NOT(ISNUMBER(Raw_HR_Data!I14))),"Check Source Data",IF(Raw_HR_Data!J14=Raw_HR_Data!F14+Raw_HR_Data!G14+Raw_HR_Data!H14-Raw_HR_Data!I14,"OK","Net Pay Error"))</x:f>
        <x:v>OK</x:v>
      </x:c>
      <x:c r="J16" s="17" t="str">
        <x:f>IF(Raw_HR_Data!K14="","Missing Bank Status","OK")</x:f>
        <x:v>OK</x:v>
      </x:c>
      <x:c r="K16" s="17" t="str">
        <x:f>IF(Raw_HR_Data!L14="","Missing PAN","OK")</x:f>
        <x:v>OK</x:v>
      </x:c>
      <x:c r="L16" s="17" t="str">
        <x:f>IF(Raw_HR_Data!M14&gt;31,"Invalid Attendance","OK")</x:f>
        <x:v>OK</x:v>
      </x:c>
      <x:c r="M16" s="17" t="str">
        <x:f>IF(OR(Raw_HR_Data!N14&gt;10,Raw_HR_Data!N14&gt;Raw_HR_Data!M14),"Invalid Leave","OK")</x:f>
        <x:v>OK</x:v>
      </x:c>
      <x:c r="N16" s="17" t="str">
        <x:f>IF(OR(Raw_HR_Data!O14="Processed",Raw_HR_Data!O14="Pending",Raw_HR_Data!O14="Hold"),"OK","Invalid Payroll Status")</x:f>
        <x:v>OK</x:v>
      </x:c>
      <x:c r="O16" s="17">
        <x:f>COUNTIF(D16:N16,"&lt;&gt;OK")-COUNTIF(I16,"Check Source Data")+IF(I16="Check Source Data",1,0)</x:f>
        <x:v>0</x:v>
      </x:c>
      <x:c r="P16" s="17" t="str">
        <x:f>IF(O16=0,"Clean","Error Found")</x:f>
        <x:v>Clean</x:v>
      </x:c>
      <x:c r="Q16" s="18" t="str">
        <x:f>IF(P16="Clean","No action needed","Review raw record and update Validated_Data")</x:f>
        <x:v>No action needed</x:v>
      </x:c>
    </x:row>
    <x:row r="17">
      <x:c r="A17" s="15" t="str">
        <x:f>Raw_HR_Data!A15</x:f>
        <x:v>EMP73624</x:v>
      </x:c>
      <x:c r="B17" s="16" t="str">
        <x:f>Raw_HR_Data!B15</x:f>
        <x:v>Isla Nair</x:v>
      </x:c>
      <x:c r="C17" s="16" t="str">
        <x:f>Raw_HR_Data!C15</x:f>
        <x:v>Finance Ops</x:v>
      </x:c>
      <x:c r="D17" s="17" t="str">
        <x:f>IF(COUNTIF(Raw_HR_Data!$A$2:$A$221,A17)&gt;1,"Duplicate","OK")</x:f>
        <x:v>OK</x:v>
      </x:c>
      <x:c r="E17" s="17" t="str">
        <x:f>IF(B17="","Missing Name","OK")</x:f>
        <x:v>OK</x:v>
      </x:c>
      <x:c r="F17" s="17" t="str">
        <x:f>IF(Raw_HR_Data!F15="","Missing Salary","OK")</x:f>
        <x:v>OK</x:v>
      </x:c>
      <x:c r="G17" s="17" t="str">
        <x:f>IF(AND(Raw_HR_Data!F15&lt;&gt;"",NOT(ISNUMBER(Raw_HR_Data!F15))),"Invalid Salary Type","OK")</x:f>
        <x:v>OK</x:v>
      </x:c>
      <x:c r="H17" s="17" t="str">
        <x:f>IF(Raw_HR_Data!I15&lt;0,"Invalid Deduction","OK")</x:f>
        <x:v>OK</x:v>
      </x:c>
      <x:c r="I17" s="17" t="str">
        <x:f>IF(OR(NOT(ISNUMBER(Raw_HR_Data!F15)),NOT(ISNUMBER(Raw_HR_Data!G15)),NOT(ISNUMBER(Raw_HR_Data!H15)),NOT(ISNUMBER(Raw_HR_Data!I15))),"Check Source Data",IF(Raw_HR_Data!J15=Raw_HR_Data!F15+Raw_HR_Data!G15+Raw_HR_Data!H15-Raw_HR_Data!I15,"OK","Net Pay Error"))</x:f>
        <x:v>OK</x:v>
      </x:c>
      <x:c r="J17" s="17" t="str">
        <x:f>IF(Raw_HR_Data!K15="","Missing Bank Status","OK")</x:f>
        <x:v>OK</x:v>
      </x:c>
      <x:c r="K17" s="17" t="str">
        <x:f>IF(Raw_HR_Data!L15="","Missing PAN","OK")</x:f>
        <x:v>OK</x:v>
      </x:c>
      <x:c r="L17" s="17" t="str">
        <x:f>IF(Raw_HR_Data!M15&gt;31,"Invalid Attendance","OK")</x:f>
        <x:v>OK</x:v>
      </x:c>
      <x:c r="M17" s="17" t="str">
        <x:f>IF(OR(Raw_HR_Data!N15&gt;10,Raw_HR_Data!N15&gt;Raw_HR_Data!M15),"Invalid Leave","OK")</x:f>
        <x:v>OK</x:v>
      </x:c>
      <x:c r="N17" s="17" t="str">
        <x:f>IF(OR(Raw_HR_Data!O15="Processed",Raw_HR_Data!O15="Pending",Raw_HR_Data!O15="Hold"),"OK","Invalid Payroll Status")</x:f>
        <x:v>OK</x:v>
      </x:c>
      <x:c r="O17" s="17">
        <x:f>COUNTIF(D17:N17,"&lt;&gt;OK")-COUNTIF(I17,"Check Source Data")+IF(I17="Check Source Data",1,0)</x:f>
        <x:v>0</x:v>
      </x:c>
      <x:c r="P17" s="17" t="str">
        <x:f>IF(O17=0,"Clean","Error Found")</x:f>
        <x:v>Clean</x:v>
      </x:c>
      <x:c r="Q17" s="18" t="str">
        <x:f>IF(P17="Clean","No action needed","Review raw record and update Validated_Data")</x:f>
        <x:v>No action needed</x:v>
      </x:c>
    </x:row>
    <x:row r="18">
      <x:c r="A18" s="15" t="str">
        <x:f>Raw_HR_Data!A16</x:f>
        <x:v>EMP17100</x:v>
      </x:c>
      <x:c r="B18" s="16" t="str">
        <x:f>Raw_HR_Data!B16</x:f>
        <x:v>David Bose</x:v>
      </x:c>
      <x:c r="C18" s="16" t="str">
        <x:f>Raw_HR_Data!C16</x:f>
        <x:v>Risk Advisory</x:v>
      </x:c>
      <x:c r="D18" s="17" t="str">
        <x:f>IF(COUNTIF(Raw_HR_Data!$A$2:$A$221,A18)&gt;1,"Duplicate","OK")</x:f>
        <x:v>OK</x:v>
      </x:c>
      <x:c r="E18" s="17" t="str">
        <x:f>IF(B18="","Missing Name","OK")</x:f>
        <x:v>OK</x:v>
      </x:c>
      <x:c r="F18" s="17" t="str">
        <x:f>IF(Raw_HR_Data!F16="","Missing Salary","OK")</x:f>
        <x:v>OK</x:v>
      </x:c>
      <x:c r="G18" s="17" t="str">
        <x:f>IF(AND(Raw_HR_Data!F16&lt;&gt;"",NOT(ISNUMBER(Raw_HR_Data!F16))),"Invalid Salary Type","OK")</x:f>
        <x:v>OK</x:v>
      </x:c>
      <x:c r="H18" s="17" t="str">
        <x:f>IF(Raw_HR_Data!I16&lt;0,"Invalid Deduction","OK")</x:f>
        <x:v>OK</x:v>
      </x:c>
      <x:c r="I18" s="17" t="str">
        <x:f>IF(OR(NOT(ISNUMBER(Raw_HR_Data!F16)),NOT(ISNUMBER(Raw_HR_Data!G16)),NOT(ISNUMBER(Raw_HR_Data!H16)),NOT(ISNUMBER(Raw_HR_Data!I16))),"Check Source Data",IF(Raw_HR_Data!J16=Raw_HR_Data!F16+Raw_HR_Data!G16+Raw_HR_Data!H16-Raw_HR_Data!I16,"OK","Net Pay Error"))</x:f>
        <x:v>OK</x:v>
      </x:c>
      <x:c r="J18" s="17" t="str">
        <x:f>IF(Raw_HR_Data!K16="","Missing Bank Status","OK")</x:f>
        <x:v>OK</x:v>
      </x:c>
      <x:c r="K18" s="17" t="str">
        <x:f>IF(Raw_HR_Data!L16="","Missing PAN","OK")</x:f>
        <x:v>OK</x:v>
      </x:c>
      <x:c r="L18" s="17" t="str">
        <x:f>IF(Raw_HR_Data!M16&gt;31,"Invalid Attendance","OK")</x:f>
        <x:v>OK</x:v>
      </x:c>
      <x:c r="M18" s="17" t="str">
        <x:f>IF(OR(Raw_HR_Data!N16&gt;10,Raw_HR_Data!N16&gt;Raw_HR_Data!M16),"Invalid Leave","OK")</x:f>
        <x:v>OK</x:v>
      </x:c>
      <x:c r="N18" s="17" t="str">
        <x:f>IF(OR(Raw_HR_Data!O16="Processed",Raw_HR_Data!O16="Pending",Raw_HR_Data!O16="Hold"),"OK","Invalid Payroll Status")</x:f>
        <x:v>OK</x:v>
      </x:c>
      <x:c r="O18" s="17">
        <x:f>COUNTIF(D18:N18,"&lt;&gt;OK")-COUNTIF(I18,"Check Source Data")+IF(I18="Check Source Data",1,0)</x:f>
        <x:v>0</x:v>
      </x:c>
      <x:c r="P18" s="17" t="str">
        <x:f>IF(O18=0,"Clean","Error Found")</x:f>
        <x:v>Clean</x:v>
      </x:c>
      <x:c r="Q18" s="18" t="str">
        <x:f>IF(P18="Clean","No action needed","Review raw record and update Validated_Data")</x:f>
        <x:v>No action needed</x:v>
      </x:c>
    </x:row>
    <x:row r="19">
      <x:c r="A19" s="15" t="str">
        <x:f>Raw_HR_Data!A17</x:f>
        <x:v>EMP19880</x:v>
      </x:c>
      <x:c r="B19" s="16" t="str">
        <x:f>Raw_HR_Data!B17</x:f>
        <x:v>Sophie Taylor</x:v>
      </x:c>
      <x:c r="C19" s="16" t="str">
        <x:f>Raw_HR_Data!C17</x:f>
        <x:v>Tax Support</x:v>
      </x:c>
      <x:c r="D19" s="17" t="str">
        <x:f>IF(COUNTIF(Raw_HR_Data!$A$2:$A$221,A19)&gt;1,"Duplicate","OK")</x:f>
        <x:v>Duplicate</x:v>
      </x:c>
      <x:c r="E19" s="17" t="str">
        <x:f>IF(B19="","Missing Name","OK")</x:f>
        <x:v>OK</x:v>
      </x:c>
      <x:c r="F19" s="17" t="str">
        <x:f>IF(Raw_HR_Data!F17="","Missing Salary","OK")</x:f>
        <x:v>OK</x:v>
      </x:c>
      <x:c r="G19" s="17" t="str">
        <x:f>IF(AND(Raw_HR_Data!F17&lt;&gt;"",NOT(ISNUMBER(Raw_HR_Data!F17))),"Invalid Salary Type","OK")</x:f>
        <x:v>OK</x:v>
      </x:c>
      <x:c r="H19" s="17" t="str">
        <x:f>IF(Raw_HR_Data!I17&lt;0,"Invalid Deduction","OK")</x:f>
        <x:v>OK</x:v>
      </x:c>
      <x:c r="I19" s="17" t="str">
        <x:f>IF(OR(NOT(ISNUMBER(Raw_HR_Data!F17)),NOT(ISNUMBER(Raw_HR_Data!G17)),NOT(ISNUMBER(Raw_HR_Data!H17)),NOT(ISNUMBER(Raw_HR_Data!I17))),"Check Source Data",IF(Raw_HR_Data!J17=Raw_HR_Data!F17+Raw_HR_Data!G17+Raw_HR_Data!H17-Raw_HR_Data!I17,"OK","Net Pay Error"))</x:f>
        <x:v>OK</x:v>
      </x:c>
      <x:c r="J19" s="17" t="str">
        <x:f>IF(Raw_HR_Data!K17="","Missing Bank Status","OK")</x:f>
        <x:v>OK</x:v>
      </x:c>
      <x:c r="K19" s="17" t="str">
        <x:f>IF(Raw_HR_Data!L17="","Missing PAN","OK")</x:f>
        <x:v>OK</x:v>
      </x:c>
      <x:c r="L19" s="17" t="str">
        <x:f>IF(Raw_HR_Data!M17&gt;31,"Invalid Attendance","OK")</x:f>
        <x:v>OK</x:v>
      </x:c>
      <x:c r="M19" s="17" t="str">
        <x:f>IF(OR(Raw_HR_Data!N17&gt;10,Raw_HR_Data!N17&gt;Raw_HR_Data!M17),"Invalid Leave","OK")</x:f>
        <x:v>OK</x:v>
      </x:c>
      <x:c r="N19" s="17" t="str">
        <x:f>IF(OR(Raw_HR_Data!O17="Processed",Raw_HR_Data!O17="Pending",Raw_HR_Data!O17="Hold"),"OK","Invalid Payroll Status")</x:f>
        <x:v>OK</x:v>
      </x:c>
      <x:c r="O19" s="17">
        <x:f>COUNTIF(D19:N19,"&lt;&gt;OK")-COUNTIF(I19,"Check Source Data")+IF(I19="Check Source Data",1,0)</x:f>
        <x:v>1</x:v>
      </x:c>
      <x:c r="P19" s="17" t="str">
        <x:f>IF(O19=0,"Clean","Error Found")</x:f>
        <x:v>Error Found</x:v>
      </x:c>
      <x:c r="Q19" s="18" t="str">
        <x:f>IF(P19="Clean","No action needed","Review raw record and update Validated_Data")</x:f>
        <x:v>Review raw record and update Validated_Data</x:v>
      </x:c>
    </x:row>
    <x:row r="20">
      <x:c r="A20" s="15" t="str">
        <x:f>Raw_HR_Data!A18</x:f>
        <x:v>EMP62565</x:v>
      </x:c>
      <x:c r="B20" s="16">
        <x:f>Raw_HR_Data!B18</x:f>
        <x:v>0</x:v>
      </x:c>
      <x:c r="C20" s="16" t="str">
        <x:f>Raw_HR_Data!C18</x:f>
        <x:v>Risk Advisory</x:v>
      </x:c>
      <x:c r="D20" s="17" t="str">
        <x:f>IF(COUNTIF(Raw_HR_Data!$A$2:$A$221,A20)&gt;1,"Duplicate","OK")</x:f>
        <x:v>OK</x:v>
      </x:c>
      <x:c r="E20" s="17" t="str">
        <x:f>IF(B20="","Missing Name","OK")</x:f>
        <x:v>Missing Name</x:v>
      </x:c>
      <x:c r="F20" s="17" t="str">
        <x:f>IF(Raw_HR_Data!F18="","Missing Salary","OK")</x:f>
        <x:v>OK</x:v>
      </x:c>
      <x:c r="G20" s="17" t="str">
        <x:f>IF(AND(Raw_HR_Data!F18&lt;&gt;"",NOT(ISNUMBER(Raw_HR_Data!F18))),"Invalid Salary Type","OK")</x:f>
        <x:v>OK</x:v>
      </x:c>
      <x:c r="H20" s="17" t="str">
        <x:f>IF(Raw_HR_Data!I18&lt;0,"Invalid Deduction","OK")</x:f>
        <x:v>OK</x:v>
      </x:c>
      <x:c r="I20" s="17" t="str">
        <x:f>IF(OR(NOT(ISNUMBER(Raw_HR_Data!F18)),NOT(ISNUMBER(Raw_HR_Data!G18)),NOT(ISNUMBER(Raw_HR_Data!H18)),NOT(ISNUMBER(Raw_HR_Data!I18))),"Check Source Data",IF(Raw_HR_Data!J18=Raw_HR_Data!F18+Raw_HR_Data!G18+Raw_HR_Data!H18-Raw_HR_Data!I18,"OK","Net Pay Error"))</x:f>
        <x:v>OK</x:v>
      </x:c>
      <x:c r="J20" s="17" t="str">
        <x:f>IF(Raw_HR_Data!K18="","Missing Bank Status","OK")</x:f>
        <x:v>OK</x:v>
      </x:c>
      <x:c r="K20" s="17" t="str">
        <x:f>IF(Raw_HR_Data!L18="","Missing PAN","OK")</x:f>
        <x:v>OK</x:v>
      </x:c>
      <x:c r="L20" s="17" t="str">
        <x:f>IF(Raw_HR_Data!M18&gt;31,"Invalid Attendance","OK")</x:f>
        <x:v>OK</x:v>
      </x:c>
      <x:c r="M20" s="17" t="str">
        <x:f>IF(OR(Raw_HR_Data!N18&gt;10,Raw_HR_Data!N18&gt;Raw_HR_Data!M18),"Invalid Leave","OK")</x:f>
        <x:v>OK</x:v>
      </x:c>
      <x:c r="N20" s="17" t="str">
        <x:f>IF(OR(Raw_HR_Data!O18="Processed",Raw_HR_Data!O18="Pending",Raw_HR_Data!O18="Hold"),"OK","Invalid Payroll Status")</x:f>
        <x:v>OK</x:v>
      </x:c>
      <x:c r="O20" s="17">
        <x:f>COUNTIF(D20:N20,"&lt;&gt;OK")-COUNTIF(I20,"Check Source Data")+IF(I20="Check Source Data",1,0)</x:f>
        <x:v>1</x:v>
      </x:c>
      <x:c r="P20" s="17" t="str">
        <x:f>IF(O20=0,"Clean","Error Found")</x:f>
        <x:v>Error Found</x:v>
      </x:c>
      <x:c r="Q20" s="18" t="str">
        <x:f>IF(P20="Clean","No action needed","Review raw record and update Validated_Data")</x:f>
        <x:v>Review raw record and update Validated_Data</x:v>
      </x:c>
    </x:row>
    <x:row r="21">
      <x:c r="A21" s="15" t="str">
        <x:f>Raw_HR_Data!A19</x:f>
        <x:v>EMP17665</x:v>
      </x:c>
      <x:c r="B21" s="16" t="str">
        <x:f>Raw_HR_Data!B19</x:f>
        <x:v>Amira Sharma</x:v>
      </x:c>
      <x:c r="C21" s="16" t="str">
        <x:f>Raw_HR_Data!C19</x:f>
        <x:v>IT Support</x:v>
      </x:c>
      <x:c r="D21" s="17" t="str">
        <x:f>IF(COUNTIF(Raw_HR_Data!$A$2:$A$221,A21)&gt;1,"Duplicate","OK")</x:f>
        <x:v>OK</x:v>
      </x:c>
      <x:c r="E21" s="17" t="str">
        <x:f>IF(B21="","Missing Name","OK")</x:f>
        <x:v>OK</x:v>
      </x:c>
      <x:c r="F21" s="17" t="str">
        <x:f>IF(Raw_HR_Data!F19="","Missing Salary","OK")</x:f>
        <x:v>OK</x:v>
      </x:c>
      <x:c r="G21" s="17" t="str">
        <x:f>IF(AND(Raw_HR_Data!F19&lt;&gt;"",NOT(ISNUMBER(Raw_HR_Data!F19))),"Invalid Salary Type","OK")</x:f>
        <x:v>OK</x:v>
      </x:c>
      <x:c r="H21" s="17" t="str">
        <x:f>IF(Raw_HR_Data!I19&lt;0,"Invalid Deduction","OK")</x:f>
        <x:v>OK</x:v>
      </x:c>
      <x:c r="I21" s="17" t="str">
        <x:f>IF(OR(NOT(ISNUMBER(Raw_HR_Data!F19)),NOT(ISNUMBER(Raw_HR_Data!G19)),NOT(ISNUMBER(Raw_HR_Data!H19)),NOT(ISNUMBER(Raw_HR_Data!I19))),"Check Source Data",IF(Raw_HR_Data!J19=Raw_HR_Data!F19+Raw_HR_Data!G19+Raw_HR_Data!H19-Raw_HR_Data!I19,"OK","Net Pay Error"))</x:f>
        <x:v>Net Pay Error</x:v>
      </x:c>
      <x:c r="J21" s="17" t="str">
        <x:f>IF(Raw_HR_Data!K19="","Missing Bank Status","OK")</x:f>
        <x:v>OK</x:v>
      </x:c>
      <x:c r="K21" s="17" t="str">
        <x:f>IF(Raw_HR_Data!L19="","Missing PAN","OK")</x:f>
        <x:v>OK</x:v>
      </x:c>
      <x:c r="L21" s="17" t="str">
        <x:f>IF(Raw_HR_Data!M19&gt;31,"Invalid Attendance","OK")</x:f>
        <x:v>OK</x:v>
      </x:c>
      <x:c r="M21" s="17" t="str">
        <x:f>IF(OR(Raw_HR_Data!N19&gt;10,Raw_HR_Data!N19&gt;Raw_HR_Data!M19),"Invalid Leave","OK")</x:f>
        <x:v>OK</x:v>
      </x:c>
      <x:c r="N21" s="17" t="str">
        <x:f>IF(OR(Raw_HR_Data!O19="Processed",Raw_HR_Data!O19="Pending",Raw_HR_Data!O19="Hold"),"OK","Invalid Payroll Status")</x:f>
        <x:v>OK</x:v>
      </x:c>
      <x:c r="O21" s="17">
        <x:f>COUNTIF(D21:N21,"&lt;&gt;OK")-COUNTIF(I21,"Check Source Data")+IF(I21="Check Source Data",1,0)</x:f>
        <x:v>1</x:v>
      </x:c>
      <x:c r="P21" s="17" t="str">
        <x:f>IF(O21=0,"Clean","Error Found")</x:f>
        <x:v>Error Found</x:v>
      </x:c>
      <x:c r="Q21" s="18" t="str">
        <x:f>IF(P21="Clean","No action needed","Review raw record and update Validated_Data")</x:f>
        <x:v>Review raw record and update Validated_Data</x:v>
      </x:c>
    </x:row>
    <x:row r="22">
      <x:c r="A22" s="15" t="str">
        <x:f>Raw_HR_Data!A20</x:f>
        <x:v>EMP18907</x:v>
      </x:c>
      <x:c r="B22" s="16" t="str">
        <x:f>Raw_HR_Data!B20</x:f>
        <x:v>Kavya Lee</x:v>
      </x:c>
      <x:c r="C22" s="16" t="str">
        <x:f>Raw_HR_Data!C20</x:f>
        <x:v>HR Shared Services</x:v>
      </x:c>
      <x:c r="D22" s="17" t="str">
        <x:f>IF(COUNTIF(Raw_HR_Data!$A$2:$A$221,A22)&gt;1,"Duplicate","OK")</x:f>
        <x:v>OK</x:v>
      </x:c>
      <x:c r="E22" s="17" t="str">
        <x:f>IF(B22="","Missing Name","OK")</x:f>
        <x:v>OK</x:v>
      </x:c>
      <x:c r="F22" s="17" t="str">
        <x:f>IF(Raw_HR_Data!F20="","Missing Salary","OK")</x:f>
        <x:v>OK</x:v>
      </x:c>
      <x:c r="G22" s="17" t="str">
        <x:f>IF(AND(Raw_HR_Data!F20&lt;&gt;"",NOT(ISNUMBER(Raw_HR_Data!F20))),"Invalid Salary Type","OK")</x:f>
        <x:v>OK</x:v>
      </x:c>
      <x:c r="H22" s="17" t="str">
        <x:f>IF(Raw_HR_Data!I20&lt;0,"Invalid Deduction","OK")</x:f>
        <x:v>OK</x:v>
      </x:c>
      <x:c r="I22" s="17" t="str">
        <x:f>IF(OR(NOT(ISNUMBER(Raw_HR_Data!F20)),NOT(ISNUMBER(Raw_HR_Data!G20)),NOT(ISNUMBER(Raw_HR_Data!H20)),NOT(ISNUMBER(Raw_HR_Data!I20))),"Check Source Data",IF(Raw_HR_Data!J20=Raw_HR_Data!F20+Raw_HR_Data!G20+Raw_HR_Data!H20-Raw_HR_Data!I20,"OK","Net Pay Error"))</x:f>
        <x:v>OK</x:v>
      </x:c>
      <x:c r="J22" s="17" t="str">
        <x:f>IF(Raw_HR_Data!K20="","Missing Bank Status","OK")</x:f>
        <x:v>OK</x:v>
      </x:c>
      <x:c r="K22" s="17" t="str">
        <x:f>IF(Raw_HR_Data!L20="","Missing PAN","OK")</x:f>
        <x:v>OK</x:v>
      </x:c>
      <x:c r="L22" s="17" t="str">
        <x:f>IF(Raw_HR_Data!M20&gt;31,"Invalid Attendance","OK")</x:f>
        <x:v>OK</x:v>
      </x:c>
      <x:c r="M22" s="17" t="str">
        <x:f>IF(OR(Raw_HR_Data!N20&gt;10,Raw_HR_Data!N20&gt;Raw_HR_Data!M20),"Invalid Leave","OK")</x:f>
        <x:v>OK</x:v>
      </x:c>
      <x:c r="N22" s="17" t="str">
        <x:f>IF(OR(Raw_HR_Data!O20="Processed",Raw_HR_Data!O20="Pending",Raw_HR_Data!O20="Hold"),"OK","Invalid Payroll Status")</x:f>
        <x:v>OK</x:v>
      </x:c>
      <x:c r="O22" s="17">
        <x:f>COUNTIF(D22:N22,"&lt;&gt;OK")-COUNTIF(I22,"Check Source Data")+IF(I22="Check Source Data",1,0)</x:f>
        <x:v>0</x:v>
      </x:c>
      <x:c r="P22" s="17" t="str">
        <x:f>IF(O22=0,"Clean","Error Found")</x:f>
        <x:v>Clean</x:v>
      </x:c>
      <x:c r="Q22" s="18" t="str">
        <x:f>IF(P22="Clean","No action needed","Review raw record and update Validated_Data")</x:f>
        <x:v>No action needed</x:v>
      </x:c>
    </x:row>
    <x:row r="23">
      <x:c r="A23" s="15" t="str">
        <x:f>Raw_HR_Data!A21</x:f>
        <x:v>EMP98039</x:v>
      </x:c>
      <x:c r="B23" s="16" t="str">
        <x:f>Raw_HR_Data!B21</x:f>
        <x:v>Meera Mehta</x:v>
      </x:c>
      <x:c r="C23" s="16" t="str">
        <x:f>Raw_HR_Data!C21</x:f>
        <x:v>IT Support</x:v>
      </x:c>
      <x:c r="D23" s="17" t="str">
        <x:f>IF(COUNTIF(Raw_HR_Data!$A$2:$A$221,A23)&gt;1,"Duplicate","OK")</x:f>
        <x:v>OK</x:v>
      </x:c>
      <x:c r="E23" s="17" t="str">
        <x:f>IF(B23="","Missing Name","OK")</x:f>
        <x:v>OK</x:v>
      </x:c>
      <x:c r="F23" s="17" t="str">
        <x:f>IF(Raw_HR_Data!F21="","Missing Salary","OK")</x:f>
        <x:v>OK</x:v>
      </x:c>
      <x:c r="G23" s="17" t="str">
        <x:f>IF(AND(Raw_HR_Data!F21&lt;&gt;"",NOT(ISNUMBER(Raw_HR_Data!F21))),"Invalid Salary Type","OK")</x:f>
        <x:v>OK</x:v>
      </x:c>
      <x:c r="H23" s="17" t="str">
        <x:f>IF(Raw_HR_Data!I21&lt;0,"Invalid Deduction","OK")</x:f>
        <x:v>OK</x:v>
      </x:c>
      <x:c r="I23" s="17" t="str">
        <x:f>IF(OR(NOT(ISNUMBER(Raw_HR_Data!F21)),NOT(ISNUMBER(Raw_HR_Data!G21)),NOT(ISNUMBER(Raw_HR_Data!H21)),NOT(ISNUMBER(Raw_HR_Data!I21))),"Check Source Data",IF(Raw_HR_Data!J21=Raw_HR_Data!F21+Raw_HR_Data!G21+Raw_HR_Data!H21-Raw_HR_Data!I21,"OK","Net Pay Error"))</x:f>
        <x:v>OK</x:v>
      </x:c>
      <x:c r="J23" s="17" t="str">
        <x:f>IF(Raw_HR_Data!K21="","Missing Bank Status","OK")</x:f>
        <x:v>OK</x:v>
      </x:c>
      <x:c r="K23" s="17" t="str">
        <x:f>IF(Raw_HR_Data!L21="","Missing PAN","OK")</x:f>
        <x:v>OK</x:v>
      </x:c>
      <x:c r="L23" s="17" t="str">
        <x:f>IF(Raw_HR_Data!M21&gt;31,"Invalid Attendance","OK")</x:f>
        <x:v>OK</x:v>
      </x:c>
      <x:c r="M23" s="17" t="str">
        <x:f>IF(OR(Raw_HR_Data!N21&gt;10,Raw_HR_Data!N21&gt;Raw_HR_Data!M21),"Invalid Leave","OK")</x:f>
        <x:v>OK</x:v>
      </x:c>
      <x:c r="N23" s="17" t="str">
        <x:f>IF(OR(Raw_HR_Data!O21="Processed",Raw_HR_Data!O21="Pending",Raw_HR_Data!O21="Hold"),"OK","Invalid Payroll Status")</x:f>
        <x:v>OK</x:v>
      </x:c>
      <x:c r="O23" s="17">
        <x:f>COUNTIF(D23:N23,"&lt;&gt;OK")-COUNTIF(I23,"Check Source Data")+IF(I23="Check Source Data",1,0)</x:f>
        <x:v>0</x:v>
      </x:c>
      <x:c r="P23" s="17" t="str">
        <x:f>IF(O23=0,"Clean","Error Found")</x:f>
        <x:v>Clean</x:v>
      </x:c>
      <x:c r="Q23" s="18" t="str">
        <x:f>IF(P23="Clean","No action needed","Review raw record and update Validated_Data")</x:f>
        <x:v>No action needed</x:v>
      </x:c>
    </x:row>
    <x:row r="24">
      <x:c r="A24" s="15" t="str">
        <x:f>Raw_HR_Data!A22</x:f>
        <x:v>EMP42018</x:v>
      </x:c>
      <x:c r="B24" s="16" t="str">
        <x:f>Raw_HR_Data!B22</x:f>
        <x:v>Pooja Johnson</x:v>
      </x:c>
      <x:c r="C24" s="16" t="str">
        <x:f>Raw_HR_Data!C22</x:f>
        <x:v>Finance Ops</x:v>
      </x:c>
      <x:c r="D24" s="17" t="str">
        <x:f>IF(COUNTIF(Raw_HR_Data!$A$2:$A$221,A24)&gt;1,"Duplicate","OK")</x:f>
        <x:v>OK</x:v>
      </x:c>
      <x:c r="E24" s="17" t="str">
        <x:f>IF(B24="","Missing Name","OK")</x:f>
        <x:v>OK</x:v>
      </x:c>
      <x:c r="F24" s="17" t="str">
        <x:f>IF(Raw_HR_Data!F22="","Missing Salary","OK")</x:f>
        <x:v>OK</x:v>
      </x:c>
      <x:c r="G24" s="17" t="str">
        <x:f>IF(AND(Raw_HR_Data!F22&lt;&gt;"",NOT(ISNUMBER(Raw_HR_Data!F22))),"Invalid Salary Type","OK")</x:f>
        <x:v>OK</x:v>
      </x:c>
      <x:c r="H24" s="17" t="str">
        <x:f>IF(Raw_HR_Data!I22&lt;0,"Invalid Deduction","OK")</x:f>
        <x:v>OK</x:v>
      </x:c>
      <x:c r="I24" s="17" t="str">
        <x:f>IF(OR(NOT(ISNUMBER(Raw_HR_Data!F22)),NOT(ISNUMBER(Raw_HR_Data!G22)),NOT(ISNUMBER(Raw_HR_Data!H22)),NOT(ISNUMBER(Raw_HR_Data!I22))),"Check Source Data",IF(Raw_HR_Data!J22=Raw_HR_Data!F22+Raw_HR_Data!G22+Raw_HR_Data!H22-Raw_HR_Data!I22,"OK","Net Pay Error"))</x:f>
        <x:v>OK</x:v>
      </x:c>
      <x:c r="J24" s="17" t="str">
        <x:f>IF(Raw_HR_Data!K22="","Missing Bank Status","OK")</x:f>
        <x:v>OK</x:v>
      </x:c>
      <x:c r="K24" s="17" t="str">
        <x:f>IF(Raw_HR_Data!L22="","Missing PAN","OK")</x:f>
        <x:v>OK</x:v>
      </x:c>
      <x:c r="L24" s="17" t="str">
        <x:f>IF(Raw_HR_Data!M22&gt;31,"Invalid Attendance","OK")</x:f>
        <x:v>OK</x:v>
      </x:c>
      <x:c r="M24" s="17" t="str">
        <x:f>IF(OR(Raw_HR_Data!N22&gt;10,Raw_HR_Data!N22&gt;Raw_HR_Data!M22),"Invalid Leave","OK")</x:f>
        <x:v>OK</x:v>
      </x:c>
      <x:c r="N24" s="17" t="str">
        <x:f>IF(OR(Raw_HR_Data!O22="Processed",Raw_HR_Data!O22="Pending",Raw_HR_Data!O22="Hold"),"OK","Invalid Payroll Status")</x:f>
        <x:v>OK</x:v>
      </x:c>
      <x:c r="O24" s="17">
        <x:f>COUNTIF(D24:N24,"&lt;&gt;OK")-COUNTIF(I24,"Check Source Data")+IF(I24="Check Source Data",1,0)</x:f>
        <x:v>0</x:v>
      </x:c>
      <x:c r="P24" s="17" t="str">
        <x:f>IF(O24=0,"Clean","Error Found")</x:f>
        <x:v>Clean</x:v>
      </x:c>
      <x:c r="Q24" s="18" t="str">
        <x:f>IF(P24="Clean","No action needed","Review raw record and update Validated_Data")</x:f>
        <x:v>No action needed</x:v>
      </x:c>
    </x:row>
    <x:row r="25">
      <x:c r="A25" s="15" t="str">
        <x:f>Raw_HR_Data!A23</x:f>
        <x:v>EMP27601</x:v>
      </x:c>
      <x:c r="B25" s="16" t="str">
        <x:f>Raw_HR_Data!B23</x:f>
        <x:v>Kiran Davis</x:v>
      </x:c>
      <x:c r="C25" s="16" t="str">
        <x:f>Raw_HR_Data!C23</x:f>
        <x:v>HR Shared Services</x:v>
      </x:c>
      <x:c r="D25" s="17" t="str">
        <x:f>IF(COUNTIF(Raw_HR_Data!$A$2:$A$221,A25)&gt;1,"Duplicate","OK")</x:f>
        <x:v>OK</x:v>
      </x:c>
      <x:c r="E25" s="17" t="str">
        <x:f>IF(B25="","Missing Name","OK")</x:f>
        <x:v>OK</x:v>
      </x:c>
      <x:c r="F25" s="17" t="str">
        <x:f>IF(Raw_HR_Data!F23="","Missing Salary","OK")</x:f>
        <x:v>OK</x:v>
      </x:c>
      <x:c r="G25" s="17" t="str">
        <x:f>IF(AND(Raw_HR_Data!F23&lt;&gt;"",NOT(ISNUMBER(Raw_HR_Data!F23))),"Invalid Salary Type","OK")</x:f>
        <x:v>OK</x:v>
      </x:c>
      <x:c r="H25" s="17" t="str">
        <x:f>IF(Raw_HR_Data!I23&lt;0,"Invalid Deduction","OK")</x:f>
        <x:v>OK</x:v>
      </x:c>
      <x:c r="I25" s="17" t="str">
        <x:f>IF(OR(NOT(ISNUMBER(Raw_HR_Data!F23)),NOT(ISNUMBER(Raw_HR_Data!G23)),NOT(ISNUMBER(Raw_HR_Data!H23)),NOT(ISNUMBER(Raw_HR_Data!I23))),"Check Source Data",IF(Raw_HR_Data!J23=Raw_HR_Data!F23+Raw_HR_Data!G23+Raw_HR_Data!H23-Raw_HR_Data!I23,"OK","Net Pay Error"))</x:f>
        <x:v>OK</x:v>
      </x:c>
      <x:c r="J25" s="17" t="str">
        <x:f>IF(Raw_HR_Data!K23="","Missing Bank Status","OK")</x:f>
        <x:v>OK</x:v>
      </x:c>
      <x:c r="K25" s="17" t="str">
        <x:f>IF(Raw_HR_Data!L23="","Missing PAN","OK")</x:f>
        <x:v>OK</x:v>
      </x:c>
      <x:c r="L25" s="17" t="str">
        <x:f>IF(Raw_HR_Data!M23&gt;31,"Invalid Attendance","OK")</x:f>
        <x:v>OK</x:v>
      </x:c>
      <x:c r="M25" s="17" t="str">
        <x:f>IF(OR(Raw_HR_Data!N23&gt;10,Raw_HR_Data!N23&gt;Raw_HR_Data!M23),"Invalid Leave","OK")</x:f>
        <x:v>OK</x:v>
      </x:c>
      <x:c r="N25" s="17" t="str">
        <x:f>IF(OR(Raw_HR_Data!O23="Processed",Raw_HR_Data!O23="Pending",Raw_HR_Data!O23="Hold"),"OK","Invalid Payroll Status")</x:f>
        <x:v>OK</x:v>
      </x:c>
      <x:c r="O25" s="17">
        <x:f>COUNTIF(D25:N25,"&lt;&gt;OK")-COUNTIF(I25,"Check Source Data")+IF(I25="Check Source Data",1,0)</x:f>
        <x:v>0</x:v>
      </x:c>
      <x:c r="P25" s="17" t="str">
        <x:f>IF(O25=0,"Clean","Error Found")</x:f>
        <x:v>Clean</x:v>
      </x:c>
      <x:c r="Q25" s="18" t="str">
        <x:f>IF(P25="Clean","No action needed","Review raw record and update Validated_Data")</x:f>
        <x:v>No action needed</x:v>
      </x:c>
    </x:row>
    <x:row r="26">
      <x:c r="A26" s="15" t="str">
        <x:f>Raw_HR_Data!A24</x:f>
        <x:v>EMP16658</x:v>
      </x:c>
      <x:c r="B26" s="16" t="str">
        <x:f>Raw_HR_Data!B24</x:f>
        <x:v>Arjun Rao</x:v>
      </x:c>
      <x:c r="C26" s="16" t="str">
        <x:f>Raw_HR_Data!C24</x:f>
        <x:v>Risk Advisory</x:v>
      </x:c>
      <x:c r="D26" s="17" t="str">
        <x:f>IF(COUNTIF(Raw_HR_Data!$A$2:$A$221,A26)&gt;1,"Duplicate","OK")</x:f>
        <x:v>OK</x:v>
      </x:c>
      <x:c r="E26" s="17" t="str">
        <x:f>IF(B26="","Missing Name","OK")</x:f>
        <x:v>OK</x:v>
      </x:c>
      <x:c r="F26" s="17" t="str">
        <x:f>IF(Raw_HR_Data!F24="","Missing Salary","OK")</x:f>
        <x:v>OK</x:v>
      </x:c>
      <x:c r="G26" s="17" t="str">
        <x:f>IF(AND(Raw_HR_Data!F24&lt;&gt;"",NOT(ISNUMBER(Raw_HR_Data!F24))),"Invalid Salary Type","OK")</x:f>
        <x:v>OK</x:v>
      </x:c>
      <x:c r="H26" s="17" t="str">
        <x:f>IF(Raw_HR_Data!I24&lt;0,"Invalid Deduction","OK")</x:f>
        <x:v>OK</x:v>
      </x:c>
      <x:c r="I26" s="17" t="str">
        <x:f>IF(OR(NOT(ISNUMBER(Raw_HR_Data!F24)),NOT(ISNUMBER(Raw_HR_Data!G24)),NOT(ISNUMBER(Raw_HR_Data!H24)),NOT(ISNUMBER(Raw_HR_Data!I24))),"Check Source Data",IF(Raw_HR_Data!J24=Raw_HR_Data!F24+Raw_HR_Data!G24+Raw_HR_Data!H24-Raw_HR_Data!I24,"OK","Net Pay Error"))</x:f>
        <x:v>OK</x:v>
      </x:c>
      <x:c r="J26" s="17" t="str">
        <x:f>IF(Raw_HR_Data!K24="","Missing Bank Status","OK")</x:f>
        <x:v>OK</x:v>
      </x:c>
      <x:c r="K26" s="17" t="str">
        <x:f>IF(Raw_HR_Data!L24="","Missing PAN","OK")</x:f>
        <x:v>OK</x:v>
      </x:c>
      <x:c r="L26" s="17" t="str">
        <x:f>IF(Raw_HR_Data!M24&gt;31,"Invalid Attendance","OK")</x:f>
        <x:v>OK</x:v>
      </x:c>
      <x:c r="M26" s="17" t="str">
        <x:f>IF(OR(Raw_HR_Data!N24&gt;10,Raw_HR_Data!N24&gt;Raw_HR_Data!M24),"Invalid Leave","OK")</x:f>
        <x:v>OK</x:v>
      </x:c>
      <x:c r="N26" s="17" t="str">
        <x:f>IF(OR(Raw_HR_Data!O24="Processed",Raw_HR_Data!O24="Pending",Raw_HR_Data!O24="Hold"),"OK","Invalid Payroll Status")</x:f>
        <x:v>OK</x:v>
      </x:c>
      <x:c r="O26" s="17">
        <x:f>COUNTIF(D26:N26,"&lt;&gt;OK")-COUNTIF(I26,"Check Source Data")+IF(I26="Check Source Data",1,0)</x:f>
        <x:v>0</x:v>
      </x:c>
      <x:c r="P26" s="17" t="str">
        <x:f>IF(O26=0,"Clean","Error Found")</x:f>
        <x:v>Clean</x:v>
      </x:c>
      <x:c r="Q26" s="18" t="str">
        <x:f>IF(P26="Clean","No action needed","Review raw record and update Validated_Data")</x:f>
        <x:v>No action needed</x:v>
      </x:c>
    </x:row>
    <x:row r="27">
      <x:c r="A27" s="15" t="str">
        <x:f>Raw_HR_Data!A25</x:f>
        <x:v>EMP11267</x:v>
      </x:c>
      <x:c r="B27" s="16" t="str">
        <x:f>Raw_HR_Data!B25</x:f>
        <x:v>Deepika Brown</x:v>
      </x:c>
      <x:c r="C27" s="16" t="str">
        <x:f>Raw_HR_Data!C25</x:f>
        <x:v>Finance Ops</x:v>
      </x:c>
      <x:c r="D27" s="17" t="str">
        <x:f>IF(COUNTIF(Raw_HR_Data!$A$2:$A$221,A27)&gt;1,"Duplicate","OK")</x:f>
        <x:v>OK</x:v>
      </x:c>
      <x:c r="E27" s="17" t="str">
        <x:f>IF(B27="","Missing Name","OK")</x:f>
        <x:v>OK</x:v>
      </x:c>
      <x:c r="F27" s="17" t="str">
        <x:f>IF(Raw_HR_Data!F25="","Missing Salary","OK")</x:f>
        <x:v>OK</x:v>
      </x:c>
      <x:c r="G27" s="17" t="str">
        <x:f>IF(AND(Raw_HR_Data!F25&lt;&gt;"",NOT(ISNUMBER(Raw_HR_Data!F25))),"Invalid Salary Type","OK")</x:f>
        <x:v>OK</x:v>
      </x:c>
      <x:c r="H27" s="17" t="str">
        <x:f>IF(Raw_HR_Data!I25&lt;0,"Invalid Deduction","OK")</x:f>
        <x:v>OK</x:v>
      </x:c>
      <x:c r="I27" s="17" t="str">
        <x:f>IF(OR(NOT(ISNUMBER(Raw_HR_Data!F25)),NOT(ISNUMBER(Raw_HR_Data!G25)),NOT(ISNUMBER(Raw_HR_Data!H25)),NOT(ISNUMBER(Raw_HR_Data!I25))),"Check Source Data",IF(Raw_HR_Data!J25=Raw_HR_Data!F25+Raw_HR_Data!G25+Raw_HR_Data!H25-Raw_HR_Data!I25,"OK","Net Pay Error"))</x:f>
        <x:v>OK</x:v>
      </x:c>
      <x:c r="J27" s="17" t="str">
        <x:f>IF(Raw_HR_Data!K25="","Missing Bank Status","OK")</x:f>
        <x:v>OK</x:v>
      </x:c>
      <x:c r="K27" s="17" t="str">
        <x:f>IF(Raw_HR_Data!L25="","Missing PAN","OK")</x:f>
        <x:v>OK</x:v>
      </x:c>
      <x:c r="L27" s="17" t="str">
        <x:f>IF(Raw_HR_Data!M25&gt;31,"Invalid Attendance","OK")</x:f>
        <x:v>OK</x:v>
      </x:c>
      <x:c r="M27" s="17" t="str">
        <x:f>IF(OR(Raw_HR_Data!N25&gt;10,Raw_HR_Data!N25&gt;Raw_HR_Data!M25),"Invalid Leave","OK")</x:f>
        <x:v>OK</x:v>
      </x:c>
      <x:c r="N27" s="17" t="str">
        <x:f>IF(OR(Raw_HR_Data!O25="Processed",Raw_HR_Data!O25="Pending",Raw_HR_Data!O25="Hold"),"OK","Invalid Payroll Status")</x:f>
        <x:v>OK</x:v>
      </x:c>
      <x:c r="O27" s="17">
        <x:f>COUNTIF(D27:N27,"&lt;&gt;OK")-COUNTIF(I27,"Check Source Data")+IF(I27="Check Source Data",1,0)</x:f>
        <x:v>0</x:v>
      </x:c>
      <x:c r="P27" s="17" t="str">
        <x:f>IF(O27=0,"Clean","Error Found")</x:f>
        <x:v>Clean</x:v>
      </x:c>
      <x:c r="Q27" s="18" t="str">
        <x:f>IF(P27="Clean","No action needed","Review raw record and update Validated_Data")</x:f>
        <x:v>No action needed</x:v>
      </x:c>
    </x:row>
    <x:row r="28">
      <x:c r="A28" s="15" t="str">
        <x:f>Raw_HR_Data!A26</x:f>
        <x:v>EMP37535</x:v>
      </x:c>
      <x:c r="B28" s="16" t="str">
        <x:f>Raw_HR_Data!B26</x:f>
        <x:v>Kavya Reddy</x:v>
      </x:c>
      <x:c r="C28" s="16" t="str">
        <x:f>Raw_HR_Data!C26</x:f>
        <x:v>HR Shared Services</x:v>
      </x:c>
      <x:c r="D28" s="17" t="str">
        <x:f>IF(COUNTIF(Raw_HR_Data!$A$2:$A$221,A28)&gt;1,"Duplicate","OK")</x:f>
        <x:v>OK</x:v>
      </x:c>
      <x:c r="E28" s="17" t="str">
        <x:f>IF(B28="","Missing Name","OK")</x:f>
        <x:v>OK</x:v>
      </x:c>
      <x:c r="F28" s="17" t="str">
        <x:f>IF(Raw_HR_Data!F26="","Missing Salary","OK")</x:f>
        <x:v>OK</x:v>
      </x:c>
      <x:c r="G28" s="17" t="str">
        <x:f>IF(AND(Raw_HR_Data!F26&lt;&gt;"",NOT(ISNUMBER(Raw_HR_Data!F26))),"Invalid Salary Type","OK")</x:f>
        <x:v>OK</x:v>
      </x:c>
      <x:c r="H28" s="17" t="str">
        <x:f>IF(Raw_HR_Data!I26&lt;0,"Invalid Deduction","OK")</x:f>
        <x:v>OK</x:v>
      </x:c>
      <x:c r="I28" s="17" t="str">
        <x:f>IF(OR(NOT(ISNUMBER(Raw_HR_Data!F26)),NOT(ISNUMBER(Raw_HR_Data!G26)),NOT(ISNUMBER(Raw_HR_Data!H26)),NOT(ISNUMBER(Raw_HR_Data!I26))),"Check Source Data",IF(Raw_HR_Data!J26=Raw_HR_Data!F26+Raw_HR_Data!G26+Raw_HR_Data!H26-Raw_HR_Data!I26,"OK","Net Pay Error"))</x:f>
        <x:v>OK</x:v>
      </x:c>
      <x:c r="J28" s="17" t="str">
        <x:f>IF(Raw_HR_Data!K26="","Missing Bank Status","OK")</x:f>
        <x:v>OK</x:v>
      </x:c>
      <x:c r="K28" s="17" t="str">
        <x:f>IF(Raw_HR_Data!L26="","Missing PAN","OK")</x:f>
        <x:v>OK</x:v>
      </x:c>
      <x:c r="L28" s="17" t="str">
        <x:f>IF(Raw_HR_Data!M26&gt;31,"Invalid Attendance","OK")</x:f>
        <x:v>OK</x:v>
      </x:c>
      <x:c r="M28" s="17" t="str">
        <x:f>IF(OR(Raw_HR_Data!N26&gt;10,Raw_HR_Data!N26&gt;Raw_HR_Data!M26),"Invalid Leave","OK")</x:f>
        <x:v>OK</x:v>
      </x:c>
      <x:c r="N28" s="17" t="str">
        <x:f>IF(OR(Raw_HR_Data!O26="Processed",Raw_HR_Data!O26="Pending",Raw_HR_Data!O26="Hold"),"OK","Invalid Payroll Status")</x:f>
        <x:v>OK</x:v>
      </x:c>
      <x:c r="O28" s="17">
        <x:f>COUNTIF(D28:N28,"&lt;&gt;OK")-COUNTIF(I28,"Check Source Data")+IF(I28="Check Source Data",1,0)</x:f>
        <x:v>0</x:v>
      </x:c>
      <x:c r="P28" s="17" t="str">
        <x:f>IF(O28=0,"Clean","Error Found")</x:f>
        <x:v>Clean</x:v>
      </x:c>
      <x:c r="Q28" s="18" t="str">
        <x:f>IF(P28="Clean","No action needed","Review raw record and update Validated_Data")</x:f>
        <x:v>No action needed</x:v>
      </x:c>
    </x:row>
    <x:row r="29">
      <x:c r="A29" s="15" t="str">
        <x:f>Raw_HR_Data!A27</x:f>
        <x:v>EMP53540</x:v>
      </x:c>
      <x:c r="B29" s="16" t="str">
        <x:f>Raw_HR_Data!B27</x:f>
        <x:v>Rohan Taylor</x:v>
      </x:c>
      <x:c r="C29" s="16" t="str">
        <x:f>Raw_HR_Data!C27</x:f>
        <x:v>Benefits Team</x:v>
      </x:c>
      <x:c r="D29" s="17" t="str">
        <x:f>IF(COUNTIF(Raw_HR_Data!$A$2:$A$221,A29)&gt;1,"Duplicate","OK")</x:f>
        <x:v>OK</x:v>
      </x:c>
      <x:c r="E29" s="17" t="str">
        <x:f>IF(B29="","Missing Name","OK")</x:f>
        <x:v>OK</x:v>
      </x:c>
      <x:c r="F29" s="17" t="str">
        <x:f>IF(Raw_HR_Data!F27="","Missing Salary","OK")</x:f>
        <x:v>OK</x:v>
      </x:c>
      <x:c r="G29" s="17" t="str">
        <x:f>IF(AND(Raw_HR_Data!F27&lt;&gt;"",NOT(ISNUMBER(Raw_HR_Data!F27))),"Invalid Salary Type","OK")</x:f>
        <x:v>OK</x:v>
      </x:c>
      <x:c r="H29" s="17" t="str">
        <x:f>IF(Raw_HR_Data!I27&lt;0,"Invalid Deduction","OK")</x:f>
        <x:v>OK</x:v>
      </x:c>
      <x:c r="I29" s="17" t="str">
        <x:f>IF(OR(NOT(ISNUMBER(Raw_HR_Data!F27)),NOT(ISNUMBER(Raw_HR_Data!G27)),NOT(ISNUMBER(Raw_HR_Data!H27)),NOT(ISNUMBER(Raw_HR_Data!I27))),"Check Source Data",IF(Raw_HR_Data!J27=Raw_HR_Data!F27+Raw_HR_Data!G27+Raw_HR_Data!H27-Raw_HR_Data!I27,"OK","Net Pay Error"))</x:f>
        <x:v>OK</x:v>
      </x:c>
      <x:c r="J29" s="17" t="str">
        <x:f>IF(Raw_HR_Data!K27="","Missing Bank Status","OK")</x:f>
        <x:v>OK</x:v>
      </x:c>
      <x:c r="K29" s="17" t="str">
        <x:f>IF(Raw_HR_Data!L27="","Missing PAN","OK")</x:f>
        <x:v>OK</x:v>
      </x:c>
      <x:c r="L29" s="17" t="str">
        <x:f>IF(Raw_HR_Data!M27&gt;31,"Invalid Attendance","OK")</x:f>
        <x:v>OK</x:v>
      </x:c>
      <x:c r="M29" s="17" t="str">
        <x:f>IF(OR(Raw_HR_Data!N27&gt;10,Raw_HR_Data!N27&gt;Raw_HR_Data!M27),"Invalid Leave","OK")</x:f>
        <x:v>OK</x:v>
      </x:c>
      <x:c r="N29" s="17" t="str">
        <x:f>IF(OR(Raw_HR_Data!O27="Processed",Raw_HR_Data!O27="Pending",Raw_HR_Data!O27="Hold"),"OK","Invalid Payroll Status")</x:f>
        <x:v>OK</x:v>
      </x:c>
      <x:c r="O29" s="17">
        <x:f>COUNTIF(D29:N29,"&lt;&gt;OK")-COUNTIF(I29,"Check Source Data")+IF(I29="Check Source Data",1,0)</x:f>
        <x:v>0</x:v>
      </x:c>
      <x:c r="P29" s="17" t="str">
        <x:f>IF(O29=0,"Clean","Error Found")</x:f>
        <x:v>Clean</x:v>
      </x:c>
      <x:c r="Q29" s="18" t="str">
        <x:f>IF(P29="Clean","No action needed","Review raw record and update Validated_Data")</x:f>
        <x:v>No action needed</x:v>
      </x:c>
    </x:row>
    <x:row r="30">
      <x:c r="A30" s="15" t="str">
        <x:f>Raw_HR_Data!A28</x:f>
        <x:v>EMP39831</x:v>
      </x:c>
      <x:c r="B30" s="16" t="str">
        <x:f>Raw_HR_Data!B28</x:f>
        <x:v>James Anderson</x:v>
      </x:c>
      <x:c r="C30" s="16" t="str">
        <x:f>Raw_HR_Data!C28</x:f>
        <x:v>Benefits Team</x:v>
      </x:c>
      <x:c r="D30" s="17" t="str">
        <x:f>IF(COUNTIF(Raw_HR_Data!$A$2:$A$221,A30)&gt;1,"Duplicate","OK")</x:f>
        <x:v>OK</x:v>
      </x:c>
      <x:c r="E30" s="17" t="str">
        <x:f>IF(B30="","Missing Name","OK")</x:f>
        <x:v>OK</x:v>
      </x:c>
      <x:c r="F30" s="17" t="str">
        <x:f>IF(Raw_HR_Data!F28="","Missing Salary","OK")</x:f>
        <x:v>OK</x:v>
      </x:c>
      <x:c r="G30" s="17" t="str">
        <x:f>IF(AND(Raw_HR_Data!F28&lt;&gt;"",NOT(ISNUMBER(Raw_HR_Data!F28))),"Invalid Salary Type","OK")</x:f>
        <x:v>OK</x:v>
      </x:c>
      <x:c r="H30" s="17" t="str">
        <x:f>IF(Raw_HR_Data!I28&lt;0,"Invalid Deduction","OK")</x:f>
        <x:v>OK</x:v>
      </x:c>
      <x:c r="I30" s="17" t="str">
        <x:f>IF(OR(NOT(ISNUMBER(Raw_HR_Data!F28)),NOT(ISNUMBER(Raw_HR_Data!G28)),NOT(ISNUMBER(Raw_HR_Data!H28)),NOT(ISNUMBER(Raw_HR_Data!I28))),"Check Source Data",IF(Raw_HR_Data!J28=Raw_HR_Data!F28+Raw_HR_Data!G28+Raw_HR_Data!H28-Raw_HR_Data!I28,"OK","Net Pay Error"))</x:f>
        <x:v>OK</x:v>
      </x:c>
      <x:c r="J30" s="17" t="str">
        <x:f>IF(Raw_HR_Data!K28="","Missing Bank Status","OK")</x:f>
        <x:v>OK</x:v>
      </x:c>
      <x:c r="K30" s="17" t="str">
        <x:f>IF(Raw_HR_Data!L28="","Missing PAN","OK")</x:f>
        <x:v>OK</x:v>
      </x:c>
      <x:c r="L30" s="17" t="str">
        <x:f>IF(Raw_HR_Data!M28&gt;31,"Invalid Attendance","OK")</x:f>
        <x:v>OK</x:v>
      </x:c>
      <x:c r="M30" s="17" t="str">
        <x:f>IF(OR(Raw_HR_Data!N28&gt;10,Raw_HR_Data!N28&gt;Raw_HR_Data!M28),"Invalid Leave","OK")</x:f>
        <x:v>OK</x:v>
      </x:c>
      <x:c r="N30" s="17" t="str">
        <x:f>IF(OR(Raw_HR_Data!O28="Processed",Raw_HR_Data!O28="Pending",Raw_HR_Data!O28="Hold"),"OK","Invalid Payroll Status")</x:f>
        <x:v>OK</x:v>
      </x:c>
      <x:c r="O30" s="17">
        <x:f>COUNTIF(D30:N30,"&lt;&gt;OK")-COUNTIF(I30,"Check Source Data")+IF(I30="Check Source Data",1,0)</x:f>
        <x:v>0</x:v>
      </x:c>
      <x:c r="P30" s="17" t="str">
        <x:f>IF(O30=0,"Clean","Error Found")</x:f>
        <x:v>Clean</x:v>
      </x:c>
      <x:c r="Q30" s="18" t="str">
        <x:f>IF(P30="Clean","No action needed","Review raw record and update Validated_Data")</x:f>
        <x:v>No action needed</x:v>
      </x:c>
    </x:row>
    <x:row r="31">
      <x:c r="A31" s="15" t="str">
        <x:f>Raw_HR_Data!A29</x:f>
        <x:v>EMP25118</x:v>
      </x:c>
      <x:c r="B31" s="16" t="str">
        <x:f>Raw_HR_Data!B29</x:f>
        <x:v>Kiran Gupta</x:v>
      </x:c>
      <x:c r="C31" s="16" t="str">
        <x:f>Raw_HR_Data!C29</x:f>
        <x:v>Consulting Ops</x:v>
      </x:c>
      <x:c r="D31" s="17" t="str">
        <x:f>IF(COUNTIF(Raw_HR_Data!$A$2:$A$221,A31)&gt;1,"Duplicate","OK")</x:f>
        <x:v>OK</x:v>
      </x:c>
      <x:c r="E31" s="17" t="str">
        <x:f>IF(B31="","Missing Name","OK")</x:f>
        <x:v>OK</x:v>
      </x:c>
      <x:c r="F31" s="17" t="str">
        <x:f>IF(Raw_HR_Data!F29="","Missing Salary","OK")</x:f>
        <x:v>OK</x:v>
      </x:c>
      <x:c r="G31" s="17" t="str">
        <x:f>IF(AND(Raw_HR_Data!F29&lt;&gt;"",NOT(ISNUMBER(Raw_HR_Data!F29))),"Invalid Salary Type","OK")</x:f>
        <x:v>OK</x:v>
      </x:c>
      <x:c r="H31" s="17" t="str">
        <x:f>IF(Raw_HR_Data!I29&lt;0,"Invalid Deduction","OK")</x:f>
        <x:v>OK</x:v>
      </x:c>
      <x:c r="I31" s="17" t="str">
        <x:f>IF(OR(NOT(ISNUMBER(Raw_HR_Data!F29)),NOT(ISNUMBER(Raw_HR_Data!G29)),NOT(ISNUMBER(Raw_HR_Data!H29)),NOT(ISNUMBER(Raw_HR_Data!I29))),"Check Source Data",IF(Raw_HR_Data!J29=Raw_HR_Data!F29+Raw_HR_Data!G29+Raw_HR_Data!H29-Raw_HR_Data!I29,"OK","Net Pay Error"))</x:f>
        <x:v>OK</x:v>
      </x:c>
      <x:c r="J31" s="17" t="str">
        <x:f>IF(Raw_HR_Data!K29="","Missing Bank Status","OK")</x:f>
        <x:v>OK</x:v>
      </x:c>
      <x:c r="K31" s="17" t="str">
        <x:f>IF(Raw_HR_Data!L29="","Missing PAN","OK")</x:f>
        <x:v>OK</x:v>
      </x:c>
      <x:c r="L31" s="17" t="str">
        <x:f>IF(Raw_HR_Data!M29&gt;31,"Invalid Attendance","OK")</x:f>
        <x:v>OK</x:v>
      </x:c>
      <x:c r="M31" s="17" t="str">
        <x:f>IF(OR(Raw_HR_Data!N29&gt;10,Raw_HR_Data!N29&gt;Raw_HR_Data!M29),"Invalid Leave","OK")</x:f>
        <x:v>OK</x:v>
      </x:c>
      <x:c r="N31" s="17" t="str">
        <x:f>IF(OR(Raw_HR_Data!O29="Processed",Raw_HR_Data!O29="Pending",Raw_HR_Data!O29="Hold"),"OK","Invalid Payroll Status")</x:f>
        <x:v>OK</x:v>
      </x:c>
      <x:c r="O31" s="17">
        <x:f>COUNTIF(D31:N31,"&lt;&gt;OK")-COUNTIF(I31,"Check Source Data")+IF(I31="Check Source Data",1,0)</x:f>
        <x:v>0</x:v>
      </x:c>
      <x:c r="P31" s="17" t="str">
        <x:f>IF(O31=0,"Clean","Error Found")</x:f>
        <x:v>Clean</x:v>
      </x:c>
      <x:c r="Q31" s="18" t="str">
        <x:f>IF(P31="Clean","No action needed","Review raw record and update Validated_Data")</x:f>
        <x:v>No action needed</x:v>
      </x:c>
    </x:row>
    <x:row r="32">
      <x:c r="A32" s="15" t="str">
        <x:f>Raw_HR_Data!A30</x:f>
        <x:v>EMP67154</x:v>
      </x:c>
      <x:c r="B32" s="16" t="str">
        <x:f>Raw_HR_Data!B30</x:f>
        <x:v>Aarav Moore</x:v>
      </x:c>
      <x:c r="C32" s="16" t="str">
        <x:f>Raw_HR_Data!C30</x:f>
        <x:v>Tax Support</x:v>
      </x:c>
      <x:c r="D32" s="17" t="str">
        <x:f>IF(COUNTIF(Raw_HR_Data!$A$2:$A$221,A32)&gt;1,"Duplicate","OK")</x:f>
        <x:v>OK</x:v>
      </x:c>
      <x:c r="E32" s="17" t="str">
        <x:f>IF(B32="","Missing Name","OK")</x:f>
        <x:v>OK</x:v>
      </x:c>
      <x:c r="F32" s="17" t="str">
        <x:f>IF(Raw_HR_Data!F30="","Missing Salary","OK")</x:f>
        <x:v>OK</x:v>
      </x:c>
      <x:c r="G32" s="17" t="str">
        <x:f>IF(AND(Raw_HR_Data!F30&lt;&gt;"",NOT(ISNUMBER(Raw_HR_Data!F30))),"Invalid Salary Type","OK")</x:f>
        <x:v>OK</x:v>
      </x:c>
      <x:c r="H32" s="17" t="str">
        <x:f>IF(Raw_HR_Data!I30&lt;0,"Invalid Deduction","OK")</x:f>
        <x:v>OK</x:v>
      </x:c>
      <x:c r="I32" s="17" t="str">
        <x:f>IF(OR(NOT(ISNUMBER(Raw_HR_Data!F30)),NOT(ISNUMBER(Raw_HR_Data!G30)),NOT(ISNUMBER(Raw_HR_Data!H30)),NOT(ISNUMBER(Raw_HR_Data!I30))),"Check Source Data",IF(Raw_HR_Data!J30=Raw_HR_Data!F30+Raw_HR_Data!G30+Raw_HR_Data!H30-Raw_HR_Data!I30,"OK","Net Pay Error"))</x:f>
        <x:v>OK</x:v>
      </x:c>
      <x:c r="J32" s="17" t="str">
        <x:f>IF(Raw_HR_Data!K30="","Missing Bank Status","OK")</x:f>
        <x:v>OK</x:v>
      </x:c>
      <x:c r="K32" s="17" t="str">
        <x:f>IF(Raw_HR_Data!L30="","Missing PAN","OK")</x:f>
        <x:v>OK</x:v>
      </x:c>
      <x:c r="L32" s="17" t="str">
        <x:f>IF(Raw_HR_Data!M30&gt;31,"Invalid Attendance","OK")</x:f>
        <x:v>OK</x:v>
      </x:c>
      <x:c r="M32" s="17" t="str">
        <x:f>IF(OR(Raw_HR_Data!N30&gt;10,Raw_HR_Data!N30&gt;Raw_HR_Data!M30),"Invalid Leave","OK")</x:f>
        <x:v>OK</x:v>
      </x:c>
      <x:c r="N32" s="17" t="str">
        <x:f>IF(OR(Raw_HR_Data!O30="Processed",Raw_HR_Data!O30="Pending",Raw_HR_Data!O30="Hold"),"OK","Invalid Payroll Status")</x:f>
        <x:v>OK</x:v>
      </x:c>
      <x:c r="O32" s="17">
        <x:f>COUNTIF(D32:N32,"&lt;&gt;OK")-COUNTIF(I32,"Check Source Data")+IF(I32="Check Source Data",1,0)</x:f>
        <x:v>0</x:v>
      </x:c>
      <x:c r="P32" s="17" t="str">
        <x:f>IF(O32=0,"Clean","Error Found")</x:f>
        <x:v>Clean</x:v>
      </x:c>
      <x:c r="Q32" s="18" t="str">
        <x:f>IF(P32="Clean","No action needed","Review raw record and update Validated_Data")</x:f>
        <x:v>No action needed</x:v>
      </x:c>
    </x:row>
    <x:row r="33">
      <x:c r="A33" s="15" t="str">
        <x:f>Raw_HR_Data!A31</x:f>
        <x:v>EMP52753</x:v>
      </x:c>
      <x:c r="B33" s="16" t="str">
        <x:f>Raw_HR_Data!B31</x:f>
        <x:v>Ravi Shah</x:v>
      </x:c>
      <x:c r="C33" s="16" t="str">
        <x:f>Raw_HR_Data!C31</x:f>
        <x:v>Talent Ops</x:v>
      </x:c>
      <x:c r="D33" s="17" t="str">
        <x:f>IF(COUNTIF(Raw_HR_Data!$A$2:$A$221,A33)&gt;1,"Duplicate","OK")</x:f>
        <x:v>OK</x:v>
      </x:c>
      <x:c r="E33" s="17" t="str">
        <x:f>IF(B33="","Missing Name","OK")</x:f>
        <x:v>OK</x:v>
      </x:c>
      <x:c r="F33" s="17" t="str">
        <x:f>IF(Raw_HR_Data!F31="","Missing Salary","OK")</x:f>
        <x:v>OK</x:v>
      </x:c>
      <x:c r="G33" s="17" t="str">
        <x:f>IF(AND(Raw_HR_Data!F31&lt;&gt;"",NOT(ISNUMBER(Raw_HR_Data!F31))),"Invalid Salary Type","OK")</x:f>
        <x:v>OK</x:v>
      </x:c>
      <x:c r="H33" s="17" t="str">
        <x:f>IF(Raw_HR_Data!I31&lt;0,"Invalid Deduction","OK")</x:f>
        <x:v>OK</x:v>
      </x:c>
      <x:c r="I33" s="17" t="str">
        <x:f>IF(OR(NOT(ISNUMBER(Raw_HR_Data!F31)),NOT(ISNUMBER(Raw_HR_Data!G31)),NOT(ISNUMBER(Raw_HR_Data!H31)),NOT(ISNUMBER(Raw_HR_Data!I31))),"Check Source Data",IF(Raw_HR_Data!J31=Raw_HR_Data!F31+Raw_HR_Data!G31+Raw_HR_Data!H31-Raw_HR_Data!I31,"OK","Net Pay Error"))</x:f>
        <x:v>Net Pay Error</x:v>
      </x:c>
      <x:c r="J33" s="17" t="str">
        <x:f>IF(Raw_HR_Data!K31="","Missing Bank Status","OK")</x:f>
        <x:v>OK</x:v>
      </x:c>
      <x:c r="K33" s="17" t="str">
        <x:f>IF(Raw_HR_Data!L31="","Missing PAN","OK")</x:f>
        <x:v>OK</x:v>
      </x:c>
      <x:c r="L33" s="17" t="str">
        <x:f>IF(Raw_HR_Data!M31&gt;31,"Invalid Attendance","OK")</x:f>
        <x:v>OK</x:v>
      </x:c>
      <x:c r="M33" s="17" t="str">
        <x:f>IF(OR(Raw_HR_Data!N31&gt;10,Raw_HR_Data!N31&gt;Raw_HR_Data!M31),"Invalid Leave","OK")</x:f>
        <x:v>OK</x:v>
      </x:c>
      <x:c r="N33" s="17" t="str">
        <x:f>IF(OR(Raw_HR_Data!O31="Processed",Raw_HR_Data!O31="Pending",Raw_HR_Data!O31="Hold"),"OK","Invalid Payroll Status")</x:f>
        <x:v>OK</x:v>
      </x:c>
      <x:c r="O33" s="17">
        <x:f>COUNTIF(D33:N33,"&lt;&gt;OK")-COUNTIF(I33,"Check Source Data")+IF(I33="Check Source Data",1,0)</x:f>
        <x:v>1</x:v>
      </x:c>
      <x:c r="P33" s="17" t="str">
        <x:f>IF(O33=0,"Clean","Error Found")</x:f>
        <x:v>Error Found</x:v>
      </x:c>
      <x:c r="Q33" s="18" t="str">
        <x:f>IF(P33="Clean","No action needed","Review raw record and update Validated_Data")</x:f>
        <x:v>Review raw record and update Validated_Data</x:v>
      </x:c>
    </x:row>
    <x:row r="34">
      <x:c r="A34" s="15" t="str">
        <x:f>Raw_HR_Data!A32</x:f>
        <x:v>EMP37549</x:v>
      </x:c>
      <x:c r="B34" s="16" t="str">
        <x:f>Raw_HR_Data!B32</x:f>
        <x:v>Sneha Taylor</x:v>
      </x:c>
      <x:c r="C34" s="16" t="str">
        <x:f>Raw_HR_Data!C32</x:f>
        <x:v>Consulting Ops</x:v>
      </x:c>
      <x:c r="D34" s="17" t="str">
        <x:f>IF(COUNTIF(Raw_HR_Data!$A$2:$A$221,A34)&gt;1,"Duplicate","OK")</x:f>
        <x:v>OK</x:v>
      </x:c>
      <x:c r="E34" s="17" t="str">
        <x:f>IF(B34="","Missing Name","OK")</x:f>
        <x:v>OK</x:v>
      </x:c>
      <x:c r="F34" s="17" t="str">
        <x:f>IF(Raw_HR_Data!F32="","Missing Salary","OK")</x:f>
        <x:v>OK</x:v>
      </x:c>
      <x:c r="G34" s="17" t="str">
        <x:f>IF(AND(Raw_HR_Data!F32&lt;&gt;"",NOT(ISNUMBER(Raw_HR_Data!F32))),"Invalid Salary Type","OK")</x:f>
        <x:v>OK</x:v>
      </x:c>
      <x:c r="H34" s="17" t="str">
        <x:f>IF(Raw_HR_Data!I32&lt;0,"Invalid Deduction","OK")</x:f>
        <x:v>OK</x:v>
      </x:c>
      <x:c r="I34" s="17" t="str">
        <x:f>IF(OR(NOT(ISNUMBER(Raw_HR_Data!F32)),NOT(ISNUMBER(Raw_HR_Data!G32)),NOT(ISNUMBER(Raw_HR_Data!H32)),NOT(ISNUMBER(Raw_HR_Data!I32))),"Check Source Data",IF(Raw_HR_Data!J32=Raw_HR_Data!F32+Raw_HR_Data!G32+Raw_HR_Data!H32-Raw_HR_Data!I32,"OK","Net Pay Error"))</x:f>
        <x:v>OK</x:v>
      </x:c>
      <x:c r="J34" s="17" t="str">
        <x:f>IF(Raw_HR_Data!K32="","Missing Bank Status","OK")</x:f>
        <x:v>OK</x:v>
      </x:c>
      <x:c r="K34" s="17" t="str">
        <x:f>IF(Raw_HR_Data!L32="","Missing PAN","OK")</x:f>
        <x:v>OK</x:v>
      </x:c>
      <x:c r="L34" s="17" t="str">
        <x:f>IF(Raw_HR_Data!M32&gt;31,"Invalid Attendance","OK")</x:f>
        <x:v>OK</x:v>
      </x:c>
      <x:c r="M34" s="17" t="str">
        <x:f>IF(OR(Raw_HR_Data!N32&gt;10,Raw_HR_Data!N32&gt;Raw_HR_Data!M32),"Invalid Leave","OK")</x:f>
        <x:v>OK</x:v>
      </x:c>
      <x:c r="N34" s="17" t="str">
        <x:f>IF(OR(Raw_HR_Data!O32="Processed",Raw_HR_Data!O32="Pending",Raw_HR_Data!O32="Hold"),"OK","Invalid Payroll Status")</x:f>
        <x:v>Invalid Payroll Status</x:v>
      </x:c>
      <x:c r="O34" s="17">
        <x:f>COUNTIF(D34:N34,"&lt;&gt;OK")-COUNTIF(I34,"Check Source Data")+IF(I34="Check Source Data",1,0)</x:f>
        <x:v>1</x:v>
      </x:c>
      <x:c r="P34" s="17" t="str">
        <x:f>IF(O34=0,"Clean","Error Found")</x:f>
        <x:v>Error Found</x:v>
      </x:c>
      <x:c r="Q34" s="18" t="str">
        <x:f>IF(P34="Clean","No action needed","Review raw record and update Validated_Data")</x:f>
        <x:v>Review raw record and update Validated_Data</x:v>
      </x:c>
    </x:row>
    <x:row r="35">
      <x:c r="A35" s="15" t="str">
        <x:f>Raw_HR_Data!A33</x:f>
        <x:v>EMP97012</x:v>
      </x:c>
      <x:c r="B35" s="16" t="str">
        <x:f>Raw_HR_Data!B33</x:f>
        <x:v>Noah Brown</x:v>
      </x:c>
      <x:c r="C35" s="16" t="str">
        <x:f>Raw_HR_Data!C33</x:f>
        <x:v>Benefits Team</x:v>
      </x:c>
      <x:c r="D35" s="17" t="str">
        <x:f>IF(COUNTIF(Raw_HR_Data!$A$2:$A$221,A35)&gt;1,"Duplicate","OK")</x:f>
        <x:v>OK</x:v>
      </x:c>
      <x:c r="E35" s="17" t="str">
        <x:f>IF(B35="","Missing Name","OK")</x:f>
        <x:v>OK</x:v>
      </x:c>
      <x:c r="F35" s="17" t="str">
        <x:f>IF(Raw_HR_Data!F33="","Missing Salary","OK")</x:f>
        <x:v>OK</x:v>
      </x:c>
      <x:c r="G35" s="17" t="str">
        <x:f>IF(AND(Raw_HR_Data!F33&lt;&gt;"",NOT(ISNUMBER(Raw_HR_Data!F33))),"Invalid Salary Type","OK")</x:f>
        <x:v>OK</x:v>
      </x:c>
      <x:c r="H35" s="17" t="str">
        <x:f>IF(Raw_HR_Data!I33&lt;0,"Invalid Deduction","OK")</x:f>
        <x:v>OK</x:v>
      </x:c>
      <x:c r="I35" s="17" t="str">
        <x:f>IF(OR(NOT(ISNUMBER(Raw_HR_Data!F33)),NOT(ISNUMBER(Raw_HR_Data!G33)),NOT(ISNUMBER(Raw_HR_Data!H33)),NOT(ISNUMBER(Raw_HR_Data!I33))),"Check Source Data",IF(Raw_HR_Data!J33=Raw_HR_Data!F33+Raw_HR_Data!G33+Raw_HR_Data!H33-Raw_HR_Data!I33,"OK","Net Pay Error"))</x:f>
        <x:v>OK</x:v>
      </x:c>
      <x:c r="J35" s="17" t="str">
        <x:f>IF(Raw_HR_Data!K33="","Missing Bank Status","OK")</x:f>
        <x:v>OK</x:v>
      </x:c>
      <x:c r="K35" s="17" t="str">
        <x:f>IF(Raw_HR_Data!L33="","Missing PAN","OK")</x:f>
        <x:v>OK</x:v>
      </x:c>
      <x:c r="L35" s="17" t="str">
        <x:f>IF(Raw_HR_Data!M33&gt;31,"Invalid Attendance","OK")</x:f>
        <x:v>OK</x:v>
      </x:c>
      <x:c r="M35" s="17" t="str">
        <x:f>IF(OR(Raw_HR_Data!N33&gt;10,Raw_HR_Data!N33&gt;Raw_HR_Data!M33),"Invalid Leave","OK")</x:f>
        <x:v>OK</x:v>
      </x:c>
      <x:c r="N35" s="17" t="str">
        <x:f>IF(OR(Raw_HR_Data!O33="Processed",Raw_HR_Data!O33="Pending",Raw_HR_Data!O33="Hold"),"OK","Invalid Payroll Status")</x:f>
        <x:v>OK</x:v>
      </x:c>
      <x:c r="O35" s="17">
        <x:f>COUNTIF(D35:N35,"&lt;&gt;OK")-COUNTIF(I35,"Check Source Data")+IF(I35="Check Source Data",1,0)</x:f>
        <x:v>0</x:v>
      </x:c>
      <x:c r="P35" s="17" t="str">
        <x:f>IF(O35=0,"Clean","Error Found")</x:f>
        <x:v>Clean</x:v>
      </x:c>
      <x:c r="Q35" s="18" t="str">
        <x:f>IF(P35="Clean","No action needed","Review raw record and update Validated_Data")</x:f>
        <x:v>No action needed</x:v>
      </x:c>
    </x:row>
    <x:row r="36">
      <x:c r="A36" s="15" t="str">
        <x:f>Raw_HR_Data!A34</x:f>
        <x:v>EMP85454</x:v>
      </x:c>
      <x:c r="B36" s="16" t="str">
        <x:f>Raw_HR_Data!B34</x:f>
        <x:v>Henry Shah</x:v>
      </x:c>
      <x:c r="C36" s="16" t="str">
        <x:f>Raw_HR_Data!C34</x:f>
        <x:v>Risk Advisory</x:v>
      </x:c>
      <x:c r="D36" s="17" t="str">
        <x:f>IF(COUNTIF(Raw_HR_Data!$A$2:$A$221,A36)&gt;1,"Duplicate","OK")</x:f>
        <x:v>OK</x:v>
      </x:c>
      <x:c r="E36" s="17" t="str">
        <x:f>IF(B36="","Missing Name","OK")</x:f>
        <x:v>OK</x:v>
      </x:c>
      <x:c r="F36" s="17" t="str">
        <x:f>IF(Raw_HR_Data!F34="","Missing Salary","OK")</x:f>
        <x:v>OK</x:v>
      </x:c>
      <x:c r="G36" s="17" t="str">
        <x:f>IF(AND(Raw_HR_Data!F34&lt;&gt;"",NOT(ISNUMBER(Raw_HR_Data!F34))),"Invalid Salary Type","OK")</x:f>
        <x:v>OK</x:v>
      </x:c>
      <x:c r="H36" s="17" t="str">
        <x:f>IF(Raw_HR_Data!I34&lt;0,"Invalid Deduction","OK")</x:f>
        <x:v>OK</x:v>
      </x:c>
      <x:c r="I36" s="17" t="str">
        <x:f>IF(OR(NOT(ISNUMBER(Raw_HR_Data!F34)),NOT(ISNUMBER(Raw_HR_Data!G34)),NOT(ISNUMBER(Raw_HR_Data!H34)),NOT(ISNUMBER(Raw_HR_Data!I34))),"Check Source Data",IF(Raw_HR_Data!J34=Raw_HR_Data!F34+Raw_HR_Data!G34+Raw_HR_Data!H34-Raw_HR_Data!I34,"OK","Net Pay Error"))</x:f>
        <x:v>OK</x:v>
      </x:c>
      <x:c r="J36" s="17" t="str">
        <x:f>IF(Raw_HR_Data!K34="","Missing Bank Status","OK")</x:f>
        <x:v>OK</x:v>
      </x:c>
      <x:c r="K36" s="17" t="str">
        <x:f>IF(Raw_HR_Data!L34="","Missing PAN","OK")</x:f>
        <x:v>OK</x:v>
      </x:c>
      <x:c r="L36" s="17" t="str">
        <x:f>IF(Raw_HR_Data!M34&gt;31,"Invalid Attendance","OK")</x:f>
        <x:v>OK</x:v>
      </x:c>
      <x:c r="M36" s="17" t="str">
        <x:f>IF(OR(Raw_HR_Data!N34&gt;10,Raw_HR_Data!N34&gt;Raw_HR_Data!M34),"Invalid Leave","OK")</x:f>
        <x:v>OK</x:v>
      </x:c>
      <x:c r="N36" s="17" t="str">
        <x:f>IF(OR(Raw_HR_Data!O34="Processed",Raw_HR_Data!O34="Pending",Raw_HR_Data!O34="Hold"),"OK","Invalid Payroll Status")</x:f>
        <x:v>OK</x:v>
      </x:c>
      <x:c r="O36" s="17">
        <x:f>COUNTIF(D36:N36,"&lt;&gt;OK")-COUNTIF(I36,"Check Source Data")+IF(I36="Check Source Data",1,0)</x:f>
        <x:v>0</x:v>
      </x:c>
      <x:c r="P36" s="17" t="str">
        <x:f>IF(O36=0,"Clean","Error Found")</x:f>
        <x:v>Clean</x:v>
      </x:c>
      <x:c r="Q36" s="18" t="str">
        <x:f>IF(P36="Clean","No action needed","Review raw record and update Validated_Data")</x:f>
        <x:v>No action needed</x:v>
      </x:c>
    </x:row>
    <x:row r="37">
      <x:c r="A37" s="15" t="str">
        <x:f>Raw_HR_Data!A35</x:f>
        <x:v>EMP77889</x:v>
      </x:c>
      <x:c r="B37" s="16" t="str">
        <x:f>Raw_HR_Data!B35</x:f>
        <x:v>Vikram Bose</x:v>
      </x:c>
      <x:c r="C37" s="16" t="str">
        <x:f>Raw_HR_Data!C35</x:f>
        <x:v>Tax Support</x:v>
      </x:c>
      <x:c r="D37" s="17" t="str">
        <x:f>IF(COUNTIF(Raw_HR_Data!$A$2:$A$221,A37)&gt;1,"Duplicate","OK")</x:f>
        <x:v>OK</x:v>
      </x:c>
      <x:c r="E37" s="17" t="str">
        <x:f>IF(B37="","Missing Name","OK")</x:f>
        <x:v>OK</x:v>
      </x:c>
      <x:c r="F37" s="17" t="str">
        <x:f>IF(Raw_HR_Data!F35="","Missing Salary","OK")</x:f>
        <x:v>OK</x:v>
      </x:c>
      <x:c r="G37" s="17" t="str">
        <x:f>IF(AND(Raw_HR_Data!F35&lt;&gt;"",NOT(ISNUMBER(Raw_HR_Data!F35))),"Invalid Salary Type","OK")</x:f>
        <x:v>OK</x:v>
      </x:c>
      <x:c r="H37" s="17" t="str">
        <x:f>IF(Raw_HR_Data!I35&lt;0,"Invalid Deduction","OK")</x:f>
        <x:v>OK</x:v>
      </x:c>
      <x:c r="I37" s="17" t="str">
        <x:f>IF(OR(NOT(ISNUMBER(Raw_HR_Data!F35)),NOT(ISNUMBER(Raw_HR_Data!G35)),NOT(ISNUMBER(Raw_HR_Data!H35)),NOT(ISNUMBER(Raw_HR_Data!I35))),"Check Source Data",IF(Raw_HR_Data!J35=Raw_HR_Data!F35+Raw_HR_Data!G35+Raw_HR_Data!H35-Raw_HR_Data!I35,"OK","Net Pay Error"))</x:f>
        <x:v>OK</x:v>
      </x:c>
      <x:c r="J37" s="17" t="str">
        <x:f>IF(Raw_HR_Data!K35="","Missing Bank Status","OK")</x:f>
        <x:v>OK</x:v>
      </x:c>
      <x:c r="K37" s="17" t="str">
        <x:f>IF(Raw_HR_Data!L35="","Missing PAN","OK")</x:f>
        <x:v>OK</x:v>
      </x:c>
      <x:c r="L37" s="17" t="str">
        <x:f>IF(Raw_HR_Data!M35&gt;31,"Invalid Attendance","OK")</x:f>
        <x:v>OK</x:v>
      </x:c>
      <x:c r="M37" s="17" t="str">
        <x:f>IF(OR(Raw_HR_Data!N35&gt;10,Raw_HR_Data!N35&gt;Raw_HR_Data!M35),"Invalid Leave","OK")</x:f>
        <x:v>OK</x:v>
      </x:c>
      <x:c r="N37" s="17" t="str">
        <x:f>IF(OR(Raw_HR_Data!O35="Processed",Raw_HR_Data!O35="Pending",Raw_HR_Data!O35="Hold"),"OK","Invalid Payroll Status")</x:f>
        <x:v>OK</x:v>
      </x:c>
      <x:c r="O37" s="17">
        <x:f>COUNTIF(D37:N37,"&lt;&gt;OK")-COUNTIF(I37,"Check Source Data")+IF(I37="Check Source Data",1,0)</x:f>
        <x:v>0</x:v>
      </x:c>
      <x:c r="P37" s="17" t="str">
        <x:f>IF(O37=0,"Clean","Error Found")</x:f>
        <x:v>Clean</x:v>
      </x:c>
      <x:c r="Q37" s="18" t="str">
        <x:f>IF(P37="Clean","No action needed","Review raw record and update Validated_Data")</x:f>
        <x:v>No action needed</x:v>
      </x:c>
    </x:row>
    <x:row r="38">
      <x:c r="A38" s="15" t="str">
        <x:f>Raw_HR_Data!A36</x:f>
        <x:v>EMP72216</x:v>
      </x:c>
      <x:c r="B38" s="16" t="str">
        <x:f>Raw_HR_Data!B36</x:f>
        <x:v>Sophie Jackson</x:v>
      </x:c>
      <x:c r="C38" s="16" t="str">
        <x:f>Raw_HR_Data!C36</x:f>
        <x:v>Benefits Team</x:v>
      </x:c>
      <x:c r="D38" s="17" t="str">
        <x:f>IF(COUNTIF(Raw_HR_Data!$A$2:$A$221,A38)&gt;1,"Duplicate","OK")</x:f>
        <x:v>OK</x:v>
      </x:c>
      <x:c r="E38" s="17" t="str">
        <x:f>IF(B38="","Missing Name","OK")</x:f>
        <x:v>OK</x:v>
      </x:c>
      <x:c r="F38" s="17" t="str">
        <x:f>IF(Raw_HR_Data!F36="","Missing Salary","OK")</x:f>
        <x:v>OK</x:v>
      </x:c>
      <x:c r="G38" s="17" t="str">
        <x:f>IF(AND(Raw_HR_Data!F36&lt;&gt;"",NOT(ISNUMBER(Raw_HR_Data!F36))),"Invalid Salary Type","OK")</x:f>
        <x:v>OK</x:v>
      </x:c>
      <x:c r="H38" s="17" t="str">
        <x:f>IF(Raw_HR_Data!I36&lt;0,"Invalid Deduction","OK")</x:f>
        <x:v>OK</x:v>
      </x:c>
      <x:c r="I38" s="17" t="str">
        <x:f>IF(OR(NOT(ISNUMBER(Raw_HR_Data!F36)),NOT(ISNUMBER(Raw_HR_Data!G36)),NOT(ISNUMBER(Raw_HR_Data!H36)),NOT(ISNUMBER(Raw_HR_Data!I36))),"Check Source Data",IF(Raw_HR_Data!J36=Raw_HR_Data!F36+Raw_HR_Data!G36+Raw_HR_Data!H36-Raw_HR_Data!I36,"OK","Net Pay Error"))</x:f>
        <x:v>OK</x:v>
      </x:c>
      <x:c r="J38" s="17" t="str">
        <x:f>IF(Raw_HR_Data!K36="","Missing Bank Status","OK")</x:f>
        <x:v>OK</x:v>
      </x:c>
      <x:c r="K38" s="17" t="str">
        <x:f>IF(Raw_HR_Data!L36="","Missing PAN","OK")</x:f>
        <x:v>OK</x:v>
      </x:c>
      <x:c r="L38" s="17" t="str">
        <x:f>IF(Raw_HR_Data!M36&gt;31,"Invalid Attendance","OK")</x:f>
        <x:v>OK</x:v>
      </x:c>
      <x:c r="M38" s="17" t="str">
        <x:f>IF(OR(Raw_HR_Data!N36&gt;10,Raw_HR_Data!N36&gt;Raw_HR_Data!M36),"Invalid Leave","OK")</x:f>
        <x:v>OK</x:v>
      </x:c>
      <x:c r="N38" s="17" t="str">
        <x:f>IF(OR(Raw_HR_Data!O36="Processed",Raw_HR_Data!O36="Pending",Raw_HR_Data!O36="Hold"),"OK","Invalid Payroll Status")</x:f>
        <x:v>OK</x:v>
      </x:c>
      <x:c r="O38" s="17">
        <x:f>COUNTIF(D38:N38,"&lt;&gt;OK")-COUNTIF(I38,"Check Source Data")+IF(I38="Check Source Data",1,0)</x:f>
        <x:v>0</x:v>
      </x:c>
      <x:c r="P38" s="17" t="str">
        <x:f>IF(O38=0,"Clean","Error Found")</x:f>
        <x:v>Clean</x:v>
      </x:c>
      <x:c r="Q38" s="18" t="str">
        <x:f>IF(P38="Clean","No action needed","Review raw record and update Validated_Data")</x:f>
        <x:v>No action needed</x:v>
      </x:c>
    </x:row>
    <x:row r="39">
      <x:c r="A39" s="15" t="str">
        <x:f>Raw_HR_Data!A37</x:f>
        <x:v>EMP80798</x:v>
      </x:c>
      <x:c r="B39" s="16" t="str">
        <x:f>Raw_HR_Data!B37</x:f>
        <x:v>Arjun Desai</x:v>
      </x:c>
      <x:c r="C39" s="16" t="str">
        <x:f>Raw_HR_Data!C37</x:f>
        <x:v>Finance Ops</x:v>
      </x:c>
      <x:c r="D39" s="17" t="str">
        <x:f>IF(COUNTIF(Raw_HR_Data!$A$2:$A$221,A39)&gt;1,"Duplicate","OK")</x:f>
        <x:v>OK</x:v>
      </x:c>
      <x:c r="E39" s="17" t="str">
        <x:f>IF(B39="","Missing Name","OK")</x:f>
        <x:v>OK</x:v>
      </x:c>
      <x:c r="F39" s="17" t="str">
        <x:f>IF(Raw_HR_Data!F37="","Missing Salary","OK")</x:f>
        <x:v>OK</x:v>
      </x:c>
      <x:c r="G39" s="17" t="str">
        <x:f>IF(AND(Raw_HR_Data!F37&lt;&gt;"",NOT(ISNUMBER(Raw_HR_Data!F37))),"Invalid Salary Type","OK")</x:f>
        <x:v>OK</x:v>
      </x:c>
      <x:c r="H39" s="17" t="str">
        <x:f>IF(Raw_HR_Data!I37&lt;0,"Invalid Deduction","OK")</x:f>
        <x:v>OK</x:v>
      </x:c>
      <x:c r="I39" s="17" t="str">
        <x:f>IF(OR(NOT(ISNUMBER(Raw_HR_Data!F37)),NOT(ISNUMBER(Raw_HR_Data!G37)),NOT(ISNUMBER(Raw_HR_Data!H37)),NOT(ISNUMBER(Raw_HR_Data!I37))),"Check Source Data",IF(Raw_HR_Data!J37=Raw_HR_Data!F37+Raw_HR_Data!G37+Raw_HR_Data!H37-Raw_HR_Data!I37,"OK","Net Pay Error"))</x:f>
        <x:v>OK</x:v>
      </x:c>
      <x:c r="J39" s="17" t="str">
        <x:f>IF(Raw_HR_Data!K37="","Missing Bank Status","OK")</x:f>
        <x:v>OK</x:v>
      </x:c>
      <x:c r="K39" s="17" t="str">
        <x:f>IF(Raw_HR_Data!L37="","Missing PAN","OK")</x:f>
        <x:v>OK</x:v>
      </x:c>
      <x:c r="L39" s="17" t="str">
        <x:f>IF(Raw_HR_Data!M37&gt;31,"Invalid Attendance","OK")</x:f>
        <x:v>OK</x:v>
      </x:c>
      <x:c r="M39" s="17" t="str">
        <x:f>IF(OR(Raw_HR_Data!N37&gt;10,Raw_HR_Data!N37&gt;Raw_HR_Data!M37),"Invalid Leave","OK")</x:f>
        <x:v>OK</x:v>
      </x:c>
      <x:c r="N39" s="17" t="str">
        <x:f>IF(OR(Raw_HR_Data!O37="Processed",Raw_HR_Data!O37="Pending",Raw_HR_Data!O37="Hold"),"OK","Invalid Payroll Status")</x:f>
        <x:v>OK</x:v>
      </x:c>
      <x:c r="O39" s="17">
        <x:f>COUNTIF(D39:N39,"&lt;&gt;OK")-COUNTIF(I39,"Check Source Data")+IF(I39="Check Source Data",1,0)</x:f>
        <x:v>0</x:v>
      </x:c>
      <x:c r="P39" s="17" t="str">
        <x:f>IF(O39=0,"Clean","Error Found")</x:f>
        <x:v>Clean</x:v>
      </x:c>
      <x:c r="Q39" s="18" t="str">
        <x:f>IF(P39="Clean","No action needed","Review raw record and update Validated_Data")</x:f>
        <x:v>No action needed</x:v>
      </x:c>
    </x:row>
    <x:row r="40">
      <x:c r="A40" s="15" t="str">
        <x:f>Raw_HR_Data!A38</x:f>
        <x:v>EMP37110</x:v>
      </x:c>
      <x:c r="B40" s="16" t="str">
        <x:f>Raw_HR_Data!B38</x:f>
        <x:v>Rohan Lee</x:v>
      </x:c>
      <x:c r="C40" s="16" t="str">
        <x:f>Raw_HR_Data!C38</x:f>
        <x:v>Consulting Ops</x:v>
      </x:c>
      <x:c r="D40" s="17" t="str">
        <x:f>IF(COUNTIF(Raw_HR_Data!$A$2:$A$221,A40)&gt;1,"Duplicate","OK")</x:f>
        <x:v>OK</x:v>
      </x:c>
      <x:c r="E40" s="17" t="str">
        <x:f>IF(B40="","Missing Name","OK")</x:f>
        <x:v>OK</x:v>
      </x:c>
      <x:c r="F40" s="17" t="str">
        <x:f>IF(Raw_HR_Data!F38="","Missing Salary","OK")</x:f>
        <x:v>OK</x:v>
      </x:c>
      <x:c r="G40" s="17" t="str">
        <x:f>IF(AND(Raw_HR_Data!F38&lt;&gt;"",NOT(ISNUMBER(Raw_HR_Data!F38))),"Invalid Salary Type","OK")</x:f>
        <x:v>OK</x:v>
      </x:c>
      <x:c r="H40" s="17" t="str">
        <x:f>IF(Raw_HR_Data!I38&lt;0,"Invalid Deduction","OK")</x:f>
        <x:v>OK</x:v>
      </x:c>
      <x:c r="I40" s="17" t="str">
        <x:f>IF(OR(NOT(ISNUMBER(Raw_HR_Data!F38)),NOT(ISNUMBER(Raw_HR_Data!G38)),NOT(ISNUMBER(Raw_HR_Data!H38)),NOT(ISNUMBER(Raw_HR_Data!I38))),"Check Source Data",IF(Raw_HR_Data!J38=Raw_HR_Data!F38+Raw_HR_Data!G38+Raw_HR_Data!H38-Raw_HR_Data!I38,"OK","Net Pay Error"))</x:f>
        <x:v>OK</x:v>
      </x:c>
      <x:c r="J40" s="17" t="str">
        <x:f>IF(Raw_HR_Data!K38="","Missing Bank Status","OK")</x:f>
        <x:v>OK</x:v>
      </x:c>
      <x:c r="K40" s="17" t="str">
        <x:f>IF(Raw_HR_Data!L38="","Missing PAN","OK")</x:f>
        <x:v>OK</x:v>
      </x:c>
      <x:c r="L40" s="17" t="str">
        <x:f>IF(Raw_HR_Data!M38&gt;31,"Invalid Attendance","OK")</x:f>
        <x:v>OK</x:v>
      </x:c>
      <x:c r="M40" s="17" t="str">
        <x:f>IF(OR(Raw_HR_Data!N38&gt;10,Raw_HR_Data!N38&gt;Raw_HR_Data!M38),"Invalid Leave","OK")</x:f>
        <x:v>OK</x:v>
      </x:c>
      <x:c r="N40" s="17" t="str">
        <x:f>IF(OR(Raw_HR_Data!O38="Processed",Raw_HR_Data!O38="Pending",Raw_HR_Data!O38="Hold"),"OK","Invalid Payroll Status")</x:f>
        <x:v>OK</x:v>
      </x:c>
      <x:c r="O40" s="17">
        <x:f>COUNTIF(D40:N40,"&lt;&gt;OK")-COUNTIF(I40,"Check Source Data")+IF(I40="Check Source Data",1,0)</x:f>
        <x:v>0</x:v>
      </x:c>
      <x:c r="P40" s="17" t="str">
        <x:f>IF(O40=0,"Clean","Error Found")</x:f>
        <x:v>Clean</x:v>
      </x:c>
      <x:c r="Q40" s="18" t="str">
        <x:f>IF(P40="Clean","No action needed","Review raw record and update Validated_Data")</x:f>
        <x:v>No action needed</x:v>
      </x:c>
    </x:row>
    <x:row r="41">
      <x:c r="A41" s="15" t="str">
        <x:f>Raw_HR_Data!A39</x:f>
        <x:v>EMP73654</x:v>
      </x:c>
      <x:c r="B41" s="16" t="str">
        <x:f>Raw_HR_Data!B39</x:f>
        <x:v>Aisha Lee</x:v>
      </x:c>
      <x:c r="C41" s="16" t="str">
        <x:f>Raw_HR_Data!C39</x:f>
        <x:v>IT Support</x:v>
      </x:c>
      <x:c r="D41" s="17" t="str">
        <x:f>IF(COUNTIF(Raw_HR_Data!$A$2:$A$221,A41)&gt;1,"Duplicate","OK")</x:f>
        <x:v>OK</x:v>
      </x:c>
      <x:c r="E41" s="17" t="str">
        <x:f>IF(B41="","Missing Name","OK")</x:f>
        <x:v>OK</x:v>
      </x:c>
      <x:c r="F41" s="17" t="str">
        <x:f>IF(Raw_HR_Data!F39="","Missing Salary","OK")</x:f>
        <x:v>OK</x:v>
      </x:c>
      <x:c r="G41" s="17" t="str">
        <x:f>IF(AND(Raw_HR_Data!F39&lt;&gt;"",NOT(ISNUMBER(Raw_HR_Data!F39))),"Invalid Salary Type","OK")</x:f>
        <x:v>OK</x:v>
      </x:c>
      <x:c r="H41" s="17" t="str">
        <x:f>IF(Raw_HR_Data!I39&lt;0,"Invalid Deduction","OK")</x:f>
        <x:v>OK</x:v>
      </x:c>
      <x:c r="I41" s="17" t="str">
        <x:f>IF(OR(NOT(ISNUMBER(Raw_HR_Data!F39)),NOT(ISNUMBER(Raw_HR_Data!G39)),NOT(ISNUMBER(Raw_HR_Data!H39)),NOT(ISNUMBER(Raw_HR_Data!I39))),"Check Source Data",IF(Raw_HR_Data!J39=Raw_HR_Data!F39+Raw_HR_Data!G39+Raw_HR_Data!H39-Raw_HR_Data!I39,"OK","Net Pay Error"))</x:f>
        <x:v>OK</x:v>
      </x:c>
      <x:c r="J41" s="17" t="str">
        <x:f>IF(Raw_HR_Data!K39="","Missing Bank Status","OK")</x:f>
        <x:v>OK</x:v>
      </x:c>
      <x:c r="K41" s="17" t="str">
        <x:f>IF(Raw_HR_Data!L39="","Missing PAN","OK")</x:f>
        <x:v>OK</x:v>
      </x:c>
      <x:c r="L41" s="17" t="str">
        <x:f>IF(Raw_HR_Data!M39&gt;31,"Invalid Attendance","OK")</x:f>
        <x:v>OK</x:v>
      </x:c>
      <x:c r="M41" s="17" t="str">
        <x:f>IF(OR(Raw_HR_Data!N39&gt;10,Raw_HR_Data!N39&gt;Raw_HR_Data!M39),"Invalid Leave","OK")</x:f>
        <x:v>OK</x:v>
      </x:c>
      <x:c r="N41" s="17" t="str">
        <x:f>IF(OR(Raw_HR_Data!O39="Processed",Raw_HR_Data!O39="Pending",Raw_HR_Data!O39="Hold"),"OK","Invalid Payroll Status")</x:f>
        <x:v>OK</x:v>
      </x:c>
      <x:c r="O41" s="17">
        <x:f>COUNTIF(D41:N41,"&lt;&gt;OK")-COUNTIF(I41,"Check Source Data")+IF(I41="Check Source Data",1,0)</x:f>
        <x:v>0</x:v>
      </x:c>
      <x:c r="P41" s="17" t="str">
        <x:f>IF(O41=0,"Clean","Error Found")</x:f>
        <x:v>Clean</x:v>
      </x:c>
      <x:c r="Q41" s="18" t="str">
        <x:f>IF(P41="Clean","No action needed","Review raw record and update Validated_Data")</x:f>
        <x:v>No action needed</x:v>
      </x:c>
    </x:row>
    <x:row r="42">
      <x:c r="A42" s="15" t="str">
        <x:f>Raw_HR_Data!A40</x:f>
        <x:v>EMP70515</x:v>
      </x:c>
      <x:c r="B42" s="16" t="str">
        <x:f>Raw_HR_Data!B40</x:f>
        <x:v>Fatima Bose</x:v>
      </x:c>
      <x:c r="C42" s="16" t="str">
        <x:f>Raw_HR_Data!C40</x:f>
        <x:v>Talent Ops</x:v>
      </x:c>
      <x:c r="D42" s="17" t="str">
        <x:f>IF(COUNTIF(Raw_HR_Data!$A$2:$A$221,A42)&gt;1,"Duplicate","OK")</x:f>
        <x:v>OK</x:v>
      </x:c>
      <x:c r="E42" s="17" t="str">
        <x:f>IF(B42="","Missing Name","OK")</x:f>
        <x:v>OK</x:v>
      </x:c>
      <x:c r="F42" s="17" t="str">
        <x:f>IF(Raw_HR_Data!F40="","Missing Salary","OK")</x:f>
        <x:v>OK</x:v>
      </x:c>
      <x:c r="G42" s="17" t="str">
        <x:f>IF(AND(Raw_HR_Data!F40&lt;&gt;"",NOT(ISNUMBER(Raw_HR_Data!F40))),"Invalid Salary Type","OK")</x:f>
        <x:v>OK</x:v>
      </x:c>
      <x:c r="H42" s="17" t="str">
        <x:f>IF(Raw_HR_Data!I40&lt;0,"Invalid Deduction","OK")</x:f>
        <x:v>OK</x:v>
      </x:c>
      <x:c r="I42" s="17" t="str">
        <x:f>IF(OR(NOT(ISNUMBER(Raw_HR_Data!F40)),NOT(ISNUMBER(Raw_HR_Data!G40)),NOT(ISNUMBER(Raw_HR_Data!H40)),NOT(ISNUMBER(Raw_HR_Data!I40))),"Check Source Data",IF(Raw_HR_Data!J40=Raw_HR_Data!F40+Raw_HR_Data!G40+Raw_HR_Data!H40-Raw_HR_Data!I40,"OK","Net Pay Error"))</x:f>
        <x:v>OK</x:v>
      </x:c>
      <x:c r="J42" s="17" t="str">
        <x:f>IF(Raw_HR_Data!K40="","Missing Bank Status","OK")</x:f>
        <x:v>OK</x:v>
      </x:c>
      <x:c r="K42" s="17" t="str">
        <x:f>IF(Raw_HR_Data!L40="","Missing PAN","OK")</x:f>
        <x:v>OK</x:v>
      </x:c>
      <x:c r="L42" s="17" t="str">
        <x:f>IF(Raw_HR_Data!M40&gt;31,"Invalid Attendance","OK")</x:f>
        <x:v>OK</x:v>
      </x:c>
      <x:c r="M42" s="17" t="str">
        <x:f>IF(OR(Raw_HR_Data!N40&gt;10,Raw_HR_Data!N40&gt;Raw_HR_Data!M40),"Invalid Leave","OK")</x:f>
        <x:v>OK</x:v>
      </x:c>
      <x:c r="N42" s="17" t="str">
        <x:f>IF(OR(Raw_HR_Data!O40="Processed",Raw_HR_Data!O40="Pending",Raw_HR_Data!O40="Hold"),"OK","Invalid Payroll Status")</x:f>
        <x:v>OK</x:v>
      </x:c>
      <x:c r="O42" s="17">
        <x:f>COUNTIF(D42:N42,"&lt;&gt;OK")-COUNTIF(I42,"Check Source Data")+IF(I42="Check Source Data",1,0)</x:f>
        <x:v>0</x:v>
      </x:c>
      <x:c r="P42" s="17" t="str">
        <x:f>IF(O42=0,"Clean","Error Found")</x:f>
        <x:v>Clean</x:v>
      </x:c>
      <x:c r="Q42" s="18" t="str">
        <x:f>IF(P42="Clean","No action needed","Review raw record and update Validated_Data")</x:f>
        <x:v>No action needed</x:v>
      </x:c>
    </x:row>
    <x:row r="43">
      <x:c r="A43" s="15" t="str">
        <x:f>Raw_HR_Data!A41</x:f>
        <x:v>EMP77551</x:v>
      </x:c>
      <x:c r="B43" s="16" t="str">
        <x:f>Raw_HR_Data!B41</x:f>
        <x:v>Amira Kumar</x:v>
      </x:c>
      <x:c r="C43" s="16" t="str">
        <x:f>Raw_HR_Data!C41</x:f>
        <x:v>Benefits Team</x:v>
      </x:c>
      <x:c r="D43" s="17" t="str">
        <x:f>IF(COUNTIF(Raw_HR_Data!$A$2:$A$221,A43)&gt;1,"Duplicate","OK")</x:f>
        <x:v>OK</x:v>
      </x:c>
      <x:c r="E43" s="17" t="str">
        <x:f>IF(B43="","Missing Name","OK")</x:f>
        <x:v>OK</x:v>
      </x:c>
      <x:c r="F43" s="17" t="str">
        <x:f>IF(Raw_HR_Data!F41="","Missing Salary","OK")</x:f>
        <x:v>OK</x:v>
      </x:c>
      <x:c r="G43" s="17" t="str">
        <x:f>IF(AND(Raw_HR_Data!F41&lt;&gt;"",NOT(ISNUMBER(Raw_HR_Data!F41))),"Invalid Salary Type","OK")</x:f>
        <x:v>OK</x:v>
      </x:c>
      <x:c r="H43" s="17" t="str">
        <x:f>IF(Raw_HR_Data!I41&lt;0,"Invalid Deduction","OK")</x:f>
        <x:v>OK</x:v>
      </x:c>
      <x:c r="I43" s="17" t="str">
        <x:f>IF(OR(NOT(ISNUMBER(Raw_HR_Data!F41)),NOT(ISNUMBER(Raw_HR_Data!G41)),NOT(ISNUMBER(Raw_HR_Data!H41)),NOT(ISNUMBER(Raw_HR_Data!I41))),"Check Source Data",IF(Raw_HR_Data!J41=Raw_HR_Data!F41+Raw_HR_Data!G41+Raw_HR_Data!H41-Raw_HR_Data!I41,"OK","Net Pay Error"))</x:f>
        <x:v>OK</x:v>
      </x:c>
      <x:c r="J43" s="17" t="str">
        <x:f>IF(Raw_HR_Data!K41="","Missing Bank Status","OK")</x:f>
        <x:v>OK</x:v>
      </x:c>
      <x:c r="K43" s="17" t="str">
        <x:f>IF(Raw_HR_Data!L41="","Missing PAN","OK")</x:f>
        <x:v>OK</x:v>
      </x:c>
      <x:c r="L43" s="17" t="str">
        <x:f>IF(Raw_HR_Data!M41&gt;31,"Invalid Attendance","OK")</x:f>
        <x:v>OK</x:v>
      </x:c>
      <x:c r="M43" s="17" t="str">
        <x:f>IF(OR(Raw_HR_Data!N41&gt;10,Raw_HR_Data!N41&gt;Raw_HR_Data!M41),"Invalid Leave","OK")</x:f>
        <x:v>OK</x:v>
      </x:c>
      <x:c r="N43" s="17" t="str">
        <x:f>IF(OR(Raw_HR_Data!O41="Processed",Raw_HR_Data!O41="Pending",Raw_HR_Data!O41="Hold"),"OK","Invalid Payroll Status")</x:f>
        <x:v>OK</x:v>
      </x:c>
      <x:c r="O43" s="17">
        <x:f>COUNTIF(D43:N43,"&lt;&gt;OK")-COUNTIF(I43,"Check Source Data")+IF(I43="Check Source Data",1,0)</x:f>
        <x:v>0</x:v>
      </x:c>
      <x:c r="P43" s="17" t="str">
        <x:f>IF(O43=0,"Clean","Error Found")</x:f>
        <x:v>Clean</x:v>
      </x:c>
      <x:c r="Q43" s="18" t="str">
        <x:f>IF(P43="Clean","No action needed","Review raw record and update Validated_Data")</x:f>
        <x:v>No action needed</x:v>
      </x:c>
    </x:row>
    <x:row r="44">
      <x:c r="A44" s="15" t="str">
        <x:f>Raw_HR_Data!A42</x:f>
        <x:v>EMP38569</x:v>
      </x:c>
      <x:c r="B44" s="16" t="str">
        <x:f>Raw_HR_Data!B42</x:f>
        <x:v>Vikram Shah</x:v>
      </x:c>
      <x:c r="C44" s="16" t="str">
        <x:f>Raw_HR_Data!C42</x:f>
        <x:v>Talent Ops</x:v>
      </x:c>
      <x:c r="D44" s="17" t="str">
        <x:f>IF(COUNTIF(Raw_HR_Data!$A$2:$A$221,A44)&gt;1,"Duplicate","OK")</x:f>
        <x:v>OK</x:v>
      </x:c>
      <x:c r="E44" s="17" t="str">
        <x:f>IF(B44="","Missing Name","OK")</x:f>
        <x:v>OK</x:v>
      </x:c>
      <x:c r="F44" s="17" t="str">
        <x:f>IF(Raw_HR_Data!F42="","Missing Salary","OK")</x:f>
        <x:v>OK</x:v>
      </x:c>
      <x:c r="G44" s="17" t="str">
        <x:f>IF(AND(Raw_HR_Data!F42&lt;&gt;"",NOT(ISNUMBER(Raw_HR_Data!F42))),"Invalid Salary Type","OK")</x:f>
        <x:v>OK</x:v>
      </x:c>
      <x:c r="H44" s="17" t="str">
        <x:f>IF(Raw_HR_Data!I42&lt;0,"Invalid Deduction","OK")</x:f>
        <x:v>OK</x:v>
      </x:c>
      <x:c r="I44" s="17" t="str">
        <x:f>IF(OR(NOT(ISNUMBER(Raw_HR_Data!F42)),NOT(ISNUMBER(Raw_HR_Data!G42)),NOT(ISNUMBER(Raw_HR_Data!H42)),NOT(ISNUMBER(Raw_HR_Data!I42))),"Check Source Data",IF(Raw_HR_Data!J42=Raw_HR_Data!F42+Raw_HR_Data!G42+Raw_HR_Data!H42-Raw_HR_Data!I42,"OK","Net Pay Error"))</x:f>
        <x:v>OK</x:v>
      </x:c>
      <x:c r="J44" s="17" t="str">
        <x:f>IF(Raw_HR_Data!K42="","Missing Bank Status","OK")</x:f>
        <x:v>OK</x:v>
      </x:c>
      <x:c r="K44" s="17" t="str">
        <x:f>IF(Raw_HR_Data!L42="","Missing PAN","OK")</x:f>
        <x:v>OK</x:v>
      </x:c>
      <x:c r="L44" s="17" t="str">
        <x:f>IF(Raw_HR_Data!M42&gt;31,"Invalid Attendance","OK")</x:f>
        <x:v>OK</x:v>
      </x:c>
      <x:c r="M44" s="17" t="str">
        <x:f>IF(OR(Raw_HR_Data!N42&gt;10,Raw_HR_Data!N42&gt;Raw_HR_Data!M42),"Invalid Leave","OK")</x:f>
        <x:v>OK</x:v>
      </x:c>
      <x:c r="N44" s="17" t="str">
        <x:f>IF(OR(Raw_HR_Data!O42="Processed",Raw_HR_Data!O42="Pending",Raw_HR_Data!O42="Hold"),"OK","Invalid Payroll Status")</x:f>
        <x:v>OK</x:v>
      </x:c>
      <x:c r="O44" s="17">
        <x:f>COUNTIF(D44:N44,"&lt;&gt;OK")-COUNTIF(I44,"Check Source Data")+IF(I44="Check Source Data",1,0)</x:f>
        <x:v>0</x:v>
      </x:c>
      <x:c r="P44" s="17" t="str">
        <x:f>IF(O44=0,"Clean","Error Found")</x:f>
        <x:v>Clean</x:v>
      </x:c>
      <x:c r="Q44" s="18" t="str">
        <x:f>IF(P44="Clean","No action needed","Review raw record and update Validated_Data")</x:f>
        <x:v>No action needed</x:v>
      </x:c>
    </x:row>
    <x:row r="45">
      <x:c r="A45" s="15" t="str">
        <x:f>Raw_HR_Data!A43</x:f>
        <x:v>EMP85470</x:v>
      </x:c>
      <x:c r="B45" s="16" t="str">
        <x:f>Raw_HR_Data!B43</x:f>
        <x:v>Priya Lee</x:v>
      </x:c>
      <x:c r="C45" s="16" t="str">
        <x:f>Raw_HR_Data!C43</x:f>
        <x:v>Benefits Team</x:v>
      </x:c>
      <x:c r="D45" s="17" t="str">
        <x:f>IF(COUNTIF(Raw_HR_Data!$A$2:$A$221,A45)&gt;1,"Duplicate","OK")</x:f>
        <x:v>OK</x:v>
      </x:c>
      <x:c r="E45" s="17" t="str">
        <x:f>IF(B45="","Missing Name","OK")</x:f>
        <x:v>OK</x:v>
      </x:c>
      <x:c r="F45" s="17" t="str">
        <x:f>IF(Raw_HR_Data!F43="","Missing Salary","OK")</x:f>
        <x:v>OK</x:v>
      </x:c>
      <x:c r="G45" s="17" t="str">
        <x:f>IF(AND(Raw_HR_Data!F43&lt;&gt;"",NOT(ISNUMBER(Raw_HR_Data!F43))),"Invalid Salary Type","OK")</x:f>
        <x:v>OK</x:v>
      </x:c>
      <x:c r="H45" s="17" t="str">
        <x:f>IF(Raw_HR_Data!I43&lt;0,"Invalid Deduction","OK")</x:f>
        <x:v>OK</x:v>
      </x:c>
      <x:c r="I45" s="17" t="str">
        <x:f>IF(OR(NOT(ISNUMBER(Raw_HR_Data!F43)),NOT(ISNUMBER(Raw_HR_Data!G43)),NOT(ISNUMBER(Raw_HR_Data!H43)),NOT(ISNUMBER(Raw_HR_Data!I43))),"Check Source Data",IF(Raw_HR_Data!J43=Raw_HR_Data!F43+Raw_HR_Data!G43+Raw_HR_Data!H43-Raw_HR_Data!I43,"OK","Net Pay Error"))</x:f>
        <x:v>OK</x:v>
      </x:c>
      <x:c r="J45" s="17" t="str">
        <x:f>IF(Raw_HR_Data!K43="","Missing Bank Status","OK")</x:f>
        <x:v>OK</x:v>
      </x:c>
      <x:c r="K45" s="17" t="str">
        <x:f>IF(Raw_HR_Data!L43="","Missing PAN","OK")</x:f>
        <x:v>OK</x:v>
      </x:c>
      <x:c r="L45" s="17" t="str">
        <x:f>IF(Raw_HR_Data!M43&gt;31,"Invalid Attendance","OK")</x:f>
        <x:v>Invalid Attendance</x:v>
      </x:c>
      <x:c r="M45" s="17" t="str">
        <x:f>IF(OR(Raw_HR_Data!N43&gt;10,Raw_HR_Data!N43&gt;Raw_HR_Data!M43),"Invalid Leave","OK")</x:f>
        <x:v>OK</x:v>
      </x:c>
      <x:c r="N45" s="17" t="str">
        <x:f>IF(OR(Raw_HR_Data!O43="Processed",Raw_HR_Data!O43="Pending",Raw_HR_Data!O43="Hold"),"OK","Invalid Payroll Status")</x:f>
        <x:v>OK</x:v>
      </x:c>
      <x:c r="O45" s="17">
        <x:f>COUNTIF(D45:N45,"&lt;&gt;OK")-COUNTIF(I45,"Check Source Data")+IF(I45="Check Source Data",1,0)</x:f>
        <x:v>1</x:v>
      </x:c>
      <x:c r="P45" s="17" t="str">
        <x:f>IF(O45=0,"Clean","Error Found")</x:f>
        <x:v>Error Found</x:v>
      </x:c>
      <x:c r="Q45" s="18" t="str">
        <x:f>IF(P45="Clean","No action needed","Review raw record and update Validated_Data")</x:f>
        <x:v>Review raw record and update Validated_Data</x:v>
      </x:c>
    </x:row>
    <x:row r="46">
      <x:c r="A46" s="15" t="str">
        <x:f>Raw_HR_Data!A44</x:f>
        <x:v>EMP58571</x:v>
      </x:c>
      <x:c r="B46" s="16" t="str">
        <x:f>Raw_HR_Data!B44</x:f>
        <x:v>Ananya Moore</x:v>
      </x:c>
      <x:c r="C46" s="16" t="str">
        <x:f>Raw_HR_Data!C44</x:f>
        <x:v>IT Support</x:v>
      </x:c>
      <x:c r="D46" s="17" t="str">
        <x:f>IF(COUNTIF(Raw_HR_Data!$A$2:$A$221,A46)&gt;1,"Duplicate","OK")</x:f>
        <x:v>OK</x:v>
      </x:c>
      <x:c r="E46" s="17" t="str">
        <x:f>IF(B46="","Missing Name","OK")</x:f>
        <x:v>OK</x:v>
      </x:c>
      <x:c r="F46" s="17" t="str">
        <x:f>IF(Raw_HR_Data!F44="","Missing Salary","OK")</x:f>
        <x:v>OK</x:v>
      </x:c>
      <x:c r="G46" s="17" t="str">
        <x:f>IF(AND(Raw_HR_Data!F44&lt;&gt;"",NOT(ISNUMBER(Raw_HR_Data!F44))),"Invalid Salary Type","OK")</x:f>
        <x:v>OK</x:v>
      </x:c>
      <x:c r="H46" s="17" t="str">
        <x:f>IF(Raw_HR_Data!I44&lt;0,"Invalid Deduction","OK")</x:f>
        <x:v>OK</x:v>
      </x:c>
      <x:c r="I46" s="17" t="str">
        <x:f>IF(OR(NOT(ISNUMBER(Raw_HR_Data!F44)),NOT(ISNUMBER(Raw_HR_Data!G44)),NOT(ISNUMBER(Raw_HR_Data!H44)),NOT(ISNUMBER(Raw_HR_Data!I44))),"Check Source Data",IF(Raw_HR_Data!J44=Raw_HR_Data!F44+Raw_HR_Data!G44+Raw_HR_Data!H44-Raw_HR_Data!I44,"OK","Net Pay Error"))</x:f>
        <x:v>OK</x:v>
      </x:c>
      <x:c r="J46" s="17" t="str">
        <x:f>IF(Raw_HR_Data!K44="","Missing Bank Status","OK")</x:f>
        <x:v>OK</x:v>
      </x:c>
      <x:c r="K46" s="17" t="str">
        <x:f>IF(Raw_HR_Data!L44="","Missing PAN","OK")</x:f>
        <x:v>OK</x:v>
      </x:c>
      <x:c r="L46" s="17" t="str">
        <x:f>IF(Raw_HR_Data!M44&gt;31,"Invalid Attendance","OK")</x:f>
        <x:v>OK</x:v>
      </x:c>
      <x:c r="M46" s="17" t="str">
        <x:f>IF(OR(Raw_HR_Data!N44&gt;10,Raw_HR_Data!N44&gt;Raw_HR_Data!M44),"Invalid Leave","OK")</x:f>
        <x:v>OK</x:v>
      </x:c>
      <x:c r="N46" s="17" t="str">
        <x:f>IF(OR(Raw_HR_Data!O44="Processed",Raw_HR_Data!O44="Pending",Raw_HR_Data!O44="Hold"),"OK","Invalid Payroll Status")</x:f>
        <x:v>OK</x:v>
      </x:c>
      <x:c r="O46" s="17">
        <x:f>COUNTIF(D46:N46,"&lt;&gt;OK")-COUNTIF(I46,"Check Source Data")+IF(I46="Check Source Data",1,0)</x:f>
        <x:v>0</x:v>
      </x:c>
      <x:c r="P46" s="17" t="str">
        <x:f>IF(O46=0,"Clean","Error Found")</x:f>
        <x:v>Clean</x:v>
      </x:c>
      <x:c r="Q46" s="18" t="str">
        <x:f>IF(P46="Clean","No action needed","Review raw record and update Validated_Data")</x:f>
        <x:v>No action needed</x:v>
      </x:c>
    </x:row>
    <x:row r="47">
      <x:c r="A47" s="15" t="str">
        <x:f>Raw_HR_Data!A45</x:f>
        <x:v>EMP45400</x:v>
      </x:c>
      <x:c r="B47" s="16" t="str">
        <x:f>Raw_HR_Data!B45</x:f>
        <x:v>William Mehta</x:v>
      </x:c>
      <x:c r="C47" s="16" t="str">
        <x:f>Raw_HR_Data!C45</x:f>
        <x:v>Risk Advisory</x:v>
      </x:c>
      <x:c r="D47" s="17" t="str">
        <x:f>IF(COUNTIF(Raw_HR_Data!$A$2:$A$221,A47)&gt;1,"Duplicate","OK")</x:f>
        <x:v>OK</x:v>
      </x:c>
      <x:c r="E47" s="17" t="str">
        <x:f>IF(B47="","Missing Name","OK")</x:f>
        <x:v>OK</x:v>
      </x:c>
      <x:c r="F47" s="17" t="str">
        <x:f>IF(Raw_HR_Data!F45="","Missing Salary","OK")</x:f>
        <x:v>OK</x:v>
      </x:c>
      <x:c r="G47" s="17" t="str">
        <x:f>IF(AND(Raw_HR_Data!F45&lt;&gt;"",NOT(ISNUMBER(Raw_HR_Data!F45))),"Invalid Salary Type","OK")</x:f>
        <x:v>OK</x:v>
      </x:c>
      <x:c r="H47" s="17" t="str">
        <x:f>IF(Raw_HR_Data!I45&lt;0,"Invalid Deduction","OK")</x:f>
        <x:v>OK</x:v>
      </x:c>
      <x:c r="I47" s="17" t="str">
        <x:f>IF(OR(NOT(ISNUMBER(Raw_HR_Data!F45)),NOT(ISNUMBER(Raw_HR_Data!G45)),NOT(ISNUMBER(Raw_HR_Data!H45)),NOT(ISNUMBER(Raw_HR_Data!I45))),"Check Source Data",IF(Raw_HR_Data!J45=Raw_HR_Data!F45+Raw_HR_Data!G45+Raw_HR_Data!H45-Raw_HR_Data!I45,"OK","Net Pay Error"))</x:f>
        <x:v>OK</x:v>
      </x:c>
      <x:c r="J47" s="17" t="str">
        <x:f>IF(Raw_HR_Data!K45="","Missing Bank Status","OK")</x:f>
        <x:v>OK</x:v>
      </x:c>
      <x:c r="K47" s="17" t="str">
        <x:f>IF(Raw_HR_Data!L45="","Missing PAN","OK")</x:f>
        <x:v>OK</x:v>
      </x:c>
      <x:c r="L47" s="17" t="str">
        <x:f>IF(Raw_HR_Data!M45&gt;31,"Invalid Attendance","OK")</x:f>
        <x:v>OK</x:v>
      </x:c>
      <x:c r="M47" s="17" t="str">
        <x:f>IF(OR(Raw_HR_Data!N45&gt;10,Raw_HR_Data!N45&gt;Raw_HR_Data!M45),"Invalid Leave","OK")</x:f>
        <x:v>OK</x:v>
      </x:c>
      <x:c r="N47" s="17" t="str">
        <x:f>IF(OR(Raw_HR_Data!O45="Processed",Raw_HR_Data!O45="Pending",Raw_HR_Data!O45="Hold"),"OK","Invalid Payroll Status")</x:f>
        <x:v>OK</x:v>
      </x:c>
      <x:c r="O47" s="17">
        <x:f>COUNTIF(D47:N47,"&lt;&gt;OK")-COUNTIF(I47,"Check Source Data")+IF(I47="Check Source Data",1,0)</x:f>
        <x:v>0</x:v>
      </x:c>
      <x:c r="P47" s="17" t="str">
        <x:f>IF(O47=0,"Clean","Error Found")</x:f>
        <x:v>Clean</x:v>
      </x:c>
      <x:c r="Q47" s="18" t="str">
        <x:f>IF(P47="Clean","No action needed","Review raw record and update Validated_Data")</x:f>
        <x:v>No action needed</x:v>
      </x:c>
    </x:row>
    <x:row r="48">
      <x:c r="A48" s="15" t="str">
        <x:f>Raw_HR_Data!A46</x:f>
        <x:v>EMP52600</x:v>
      </x:c>
      <x:c r="B48" s="16" t="str">
        <x:f>Raw_HR_Data!B46</x:f>
        <x:v>Fatima Miller</x:v>
      </x:c>
      <x:c r="C48" s="16" t="str">
        <x:f>Raw_HR_Data!C46</x:f>
        <x:v>Benefits Team</x:v>
      </x:c>
      <x:c r="D48" s="17" t="str">
        <x:f>IF(COUNTIF(Raw_HR_Data!$A$2:$A$221,A48)&gt;1,"Duplicate","OK")</x:f>
        <x:v>OK</x:v>
      </x:c>
      <x:c r="E48" s="17" t="str">
        <x:f>IF(B48="","Missing Name","OK")</x:f>
        <x:v>OK</x:v>
      </x:c>
      <x:c r="F48" s="17" t="str">
        <x:f>IF(Raw_HR_Data!F46="","Missing Salary","OK")</x:f>
        <x:v>OK</x:v>
      </x:c>
      <x:c r="G48" s="17" t="str">
        <x:f>IF(AND(Raw_HR_Data!F46&lt;&gt;"",NOT(ISNUMBER(Raw_HR_Data!F46))),"Invalid Salary Type","OK")</x:f>
        <x:v>OK</x:v>
      </x:c>
      <x:c r="H48" s="17" t="str">
        <x:f>IF(Raw_HR_Data!I46&lt;0,"Invalid Deduction","OK")</x:f>
        <x:v>OK</x:v>
      </x:c>
      <x:c r="I48" s="17" t="str">
        <x:f>IF(OR(NOT(ISNUMBER(Raw_HR_Data!F46)),NOT(ISNUMBER(Raw_HR_Data!G46)),NOT(ISNUMBER(Raw_HR_Data!H46)),NOT(ISNUMBER(Raw_HR_Data!I46))),"Check Source Data",IF(Raw_HR_Data!J46=Raw_HR_Data!F46+Raw_HR_Data!G46+Raw_HR_Data!H46-Raw_HR_Data!I46,"OK","Net Pay Error"))</x:f>
        <x:v>OK</x:v>
      </x:c>
      <x:c r="J48" s="17" t="str">
        <x:f>IF(Raw_HR_Data!K46="","Missing Bank Status","OK")</x:f>
        <x:v>OK</x:v>
      </x:c>
      <x:c r="K48" s="17" t="str">
        <x:f>IF(Raw_HR_Data!L46="","Missing PAN","OK")</x:f>
        <x:v>OK</x:v>
      </x:c>
      <x:c r="L48" s="17" t="str">
        <x:f>IF(Raw_HR_Data!M46&gt;31,"Invalid Attendance","OK")</x:f>
        <x:v>OK</x:v>
      </x:c>
      <x:c r="M48" s="17" t="str">
        <x:f>IF(OR(Raw_HR_Data!N46&gt;10,Raw_HR_Data!N46&gt;Raw_HR_Data!M46),"Invalid Leave","OK")</x:f>
        <x:v>OK</x:v>
      </x:c>
      <x:c r="N48" s="17" t="str">
        <x:f>IF(OR(Raw_HR_Data!O46="Processed",Raw_HR_Data!O46="Pending",Raw_HR_Data!O46="Hold"),"OK","Invalid Payroll Status")</x:f>
        <x:v>OK</x:v>
      </x:c>
      <x:c r="O48" s="17">
        <x:f>COUNTIF(D48:N48,"&lt;&gt;OK")-COUNTIF(I48,"Check Source Data")+IF(I48="Check Source Data",1,0)</x:f>
        <x:v>0</x:v>
      </x:c>
      <x:c r="P48" s="17" t="str">
        <x:f>IF(O48=0,"Clean","Error Found")</x:f>
        <x:v>Clean</x:v>
      </x:c>
      <x:c r="Q48" s="18" t="str">
        <x:f>IF(P48="Clean","No action needed","Review raw record and update Validated_Data")</x:f>
        <x:v>No action needed</x:v>
      </x:c>
    </x:row>
    <x:row r="49">
      <x:c r="A49" s="15" t="str">
        <x:f>Raw_HR_Data!A47</x:f>
        <x:v>EMP74038</x:v>
      </x:c>
      <x:c r="B49" s="16" t="str">
        <x:f>Raw_HR_Data!B47</x:f>
        <x:v>Kavya Shah</x:v>
      </x:c>
      <x:c r="C49" s="16" t="str">
        <x:f>Raw_HR_Data!C47</x:f>
        <x:v>Audit Support</x:v>
      </x:c>
      <x:c r="D49" s="17" t="str">
        <x:f>IF(COUNTIF(Raw_HR_Data!$A$2:$A$221,A49)&gt;1,"Duplicate","OK")</x:f>
        <x:v>OK</x:v>
      </x:c>
      <x:c r="E49" s="17" t="str">
        <x:f>IF(B49="","Missing Name","OK")</x:f>
        <x:v>OK</x:v>
      </x:c>
      <x:c r="F49" s="17" t="str">
        <x:f>IF(Raw_HR_Data!F47="","Missing Salary","OK")</x:f>
        <x:v>OK</x:v>
      </x:c>
      <x:c r="G49" s="17" t="str">
        <x:f>IF(AND(Raw_HR_Data!F47&lt;&gt;"",NOT(ISNUMBER(Raw_HR_Data!F47))),"Invalid Salary Type","OK")</x:f>
        <x:v>OK</x:v>
      </x:c>
      <x:c r="H49" s="17" t="str">
        <x:f>IF(Raw_HR_Data!I47&lt;0,"Invalid Deduction","OK")</x:f>
        <x:v>OK</x:v>
      </x:c>
      <x:c r="I49" s="17" t="str">
        <x:f>IF(OR(NOT(ISNUMBER(Raw_HR_Data!F47)),NOT(ISNUMBER(Raw_HR_Data!G47)),NOT(ISNUMBER(Raw_HR_Data!H47)),NOT(ISNUMBER(Raw_HR_Data!I47))),"Check Source Data",IF(Raw_HR_Data!J47=Raw_HR_Data!F47+Raw_HR_Data!G47+Raw_HR_Data!H47-Raw_HR_Data!I47,"OK","Net Pay Error"))</x:f>
        <x:v>OK</x:v>
      </x:c>
      <x:c r="J49" s="17" t="str">
        <x:f>IF(Raw_HR_Data!K47="","Missing Bank Status","OK")</x:f>
        <x:v>OK</x:v>
      </x:c>
      <x:c r="K49" s="17" t="str">
        <x:f>IF(Raw_HR_Data!L47="","Missing PAN","OK")</x:f>
        <x:v>OK</x:v>
      </x:c>
      <x:c r="L49" s="17" t="str">
        <x:f>IF(Raw_HR_Data!M47&gt;31,"Invalid Attendance","OK")</x:f>
        <x:v>OK</x:v>
      </x:c>
      <x:c r="M49" s="17" t="str">
        <x:f>IF(OR(Raw_HR_Data!N47&gt;10,Raw_HR_Data!N47&gt;Raw_HR_Data!M47),"Invalid Leave","OK")</x:f>
        <x:v>OK</x:v>
      </x:c>
      <x:c r="N49" s="17" t="str">
        <x:f>IF(OR(Raw_HR_Data!O47="Processed",Raw_HR_Data!O47="Pending",Raw_HR_Data!O47="Hold"),"OK","Invalid Payroll Status")</x:f>
        <x:v>OK</x:v>
      </x:c>
      <x:c r="O49" s="17">
        <x:f>COUNTIF(D49:N49,"&lt;&gt;OK")-COUNTIF(I49,"Check Source Data")+IF(I49="Check Source Data",1,0)</x:f>
        <x:v>0</x:v>
      </x:c>
      <x:c r="P49" s="17" t="str">
        <x:f>IF(O49=0,"Clean","Error Found")</x:f>
        <x:v>Clean</x:v>
      </x:c>
      <x:c r="Q49" s="18" t="str">
        <x:f>IF(P49="Clean","No action needed","Review raw record and update Validated_Data")</x:f>
        <x:v>No action needed</x:v>
      </x:c>
    </x:row>
    <x:row r="50">
      <x:c r="A50" s="15" t="str">
        <x:f>Raw_HR_Data!A48</x:f>
        <x:v>EMP79588</x:v>
      </x:c>
      <x:c r="B50" s="16" t="str">
        <x:f>Raw_HR_Data!B48</x:f>
        <x:v>Oliver Martin</x:v>
      </x:c>
      <x:c r="C50" s="16" t="str">
        <x:f>Raw_HR_Data!C48</x:f>
        <x:v>Tax Support</x:v>
      </x:c>
      <x:c r="D50" s="17" t="str">
        <x:f>IF(COUNTIF(Raw_HR_Data!$A$2:$A$221,A50)&gt;1,"Duplicate","OK")</x:f>
        <x:v>OK</x:v>
      </x:c>
      <x:c r="E50" s="17" t="str">
        <x:f>IF(B50="","Missing Name","OK")</x:f>
        <x:v>OK</x:v>
      </x:c>
      <x:c r="F50" s="17" t="str">
        <x:f>IF(Raw_HR_Data!F48="","Missing Salary","OK")</x:f>
        <x:v>OK</x:v>
      </x:c>
      <x:c r="G50" s="17" t="str">
        <x:f>IF(AND(Raw_HR_Data!F48&lt;&gt;"",NOT(ISNUMBER(Raw_HR_Data!F48))),"Invalid Salary Type","OK")</x:f>
        <x:v>OK</x:v>
      </x:c>
      <x:c r="H50" s="17" t="str">
        <x:f>IF(Raw_HR_Data!I48&lt;0,"Invalid Deduction","OK")</x:f>
        <x:v>OK</x:v>
      </x:c>
      <x:c r="I50" s="17" t="str">
        <x:f>IF(OR(NOT(ISNUMBER(Raw_HR_Data!F48)),NOT(ISNUMBER(Raw_HR_Data!G48)),NOT(ISNUMBER(Raw_HR_Data!H48)),NOT(ISNUMBER(Raw_HR_Data!I48))),"Check Source Data",IF(Raw_HR_Data!J48=Raw_HR_Data!F48+Raw_HR_Data!G48+Raw_HR_Data!H48-Raw_HR_Data!I48,"OK","Net Pay Error"))</x:f>
        <x:v>OK</x:v>
      </x:c>
      <x:c r="J50" s="17" t="str">
        <x:f>IF(Raw_HR_Data!K48="","Missing Bank Status","OK")</x:f>
        <x:v>OK</x:v>
      </x:c>
      <x:c r="K50" s="17" t="str">
        <x:f>IF(Raw_HR_Data!L48="","Missing PAN","OK")</x:f>
        <x:v>OK</x:v>
      </x:c>
      <x:c r="L50" s="17" t="str">
        <x:f>IF(Raw_HR_Data!M48&gt;31,"Invalid Attendance","OK")</x:f>
        <x:v>OK</x:v>
      </x:c>
      <x:c r="M50" s="17" t="str">
        <x:f>IF(OR(Raw_HR_Data!N48&gt;10,Raw_HR_Data!N48&gt;Raw_HR_Data!M48),"Invalid Leave","OK")</x:f>
        <x:v>OK</x:v>
      </x:c>
      <x:c r="N50" s="17" t="str">
        <x:f>IF(OR(Raw_HR_Data!O48="Processed",Raw_HR_Data!O48="Pending",Raw_HR_Data!O48="Hold"),"OK","Invalid Payroll Status")</x:f>
        <x:v>OK</x:v>
      </x:c>
      <x:c r="O50" s="17">
        <x:f>COUNTIF(D50:N50,"&lt;&gt;OK")-COUNTIF(I50,"Check Source Data")+IF(I50="Check Source Data",1,0)</x:f>
        <x:v>0</x:v>
      </x:c>
      <x:c r="P50" s="17" t="str">
        <x:f>IF(O50=0,"Clean","Error Found")</x:f>
        <x:v>Clean</x:v>
      </x:c>
      <x:c r="Q50" s="18" t="str">
        <x:f>IF(P50="Clean","No action needed","Review raw record and update Validated_Data")</x:f>
        <x:v>No action needed</x:v>
      </x:c>
    </x:row>
    <x:row r="51">
      <x:c r="A51" s="15" t="str">
        <x:f>Raw_HR_Data!A49</x:f>
        <x:v>EMP34267</x:v>
      </x:c>
      <x:c r="B51" s="16">
        <x:f>Raw_HR_Data!B49</x:f>
        <x:v>0</x:v>
      </x:c>
      <x:c r="C51" s="16" t="str">
        <x:f>Raw_HR_Data!C49</x:f>
        <x:v>Audit Support</x:v>
      </x:c>
      <x:c r="D51" s="17" t="str">
        <x:f>IF(COUNTIF(Raw_HR_Data!$A$2:$A$221,A51)&gt;1,"Duplicate","OK")</x:f>
        <x:v>OK</x:v>
      </x:c>
      <x:c r="E51" s="17" t="str">
        <x:f>IF(B51="","Missing Name","OK")</x:f>
        <x:v>Missing Name</x:v>
      </x:c>
      <x:c r="F51" s="17" t="str">
        <x:f>IF(Raw_HR_Data!F49="","Missing Salary","OK")</x:f>
        <x:v>OK</x:v>
      </x:c>
      <x:c r="G51" s="17" t="str">
        <x:f>IF(AND(Raw_HR_Data!F49&lt;&gt;"",NOT(ISNUMBER(Raw_HR_Data!F49))),"Invalid Salary Type","OK")</x:f>
        <x:v>OK</x:v>
      </x:c>
      <x:c r="H51" s="17" t="str">
        <x:f>IF(Raw_HR_Data!I49&lt;0,"Invalid Deduction","OK")</x:f>
        <x:v>OK</x:v>
      </x:c>
      <x:c r="I51" s="17" t="str">
        <x:f>IF(OR(NOT(ISNUMBER(Raw_HR_Data!F49)),NOT(ISNUMBER(Raw_HR_Data!G49)),NOT(ISNUMBER(Raw_HR_Data!H49)),NOT(ISNUMBER(Raw_HR_Data!I49))),"Check Source Data",IF(Raw_HR_Data!J49=Raw_HR_Data!F49+Raw_HR_Data!G49+Raw_HR_Data!H49-Raw_HR_Data!I49,"OK","Net Pay Error"))</x:f>
        <x:v>OK</x:v>
      </x:c>
      <x:c r="J51" s="17" t="str">
        <x:f>IF(Raw_HR_Data!K49="","Missing Bank Status","OK")</x:f>
        <x:v>OK</x:v>
      </x:c>
      <x:c r="K51" s="17" t="str">
        <x:f>IF(Raw_HR_Data!L49="","Missing PAN","OK")</x:f>
        <x:v>OK</x:v>
      </x:c>
      <x:c r="L51" s="17" t="str">
        <x:f>IF(Raw_HR_Data!M49&gt;31,"Invalid Attendance","OK")</x:f>
        <x:v>OK</x:v>
      </x:c>
      <x:c r="M51" s="17" t="str">
        <x:f>IF(OR(Raw_HR_Data!N49&gt;10,Raw_HR_Data!N49&gt;Raw_HR_Data!M49),"Invalid Leave","OK")</x:f>
        <x:v>OK</x:v>
      </x:c>
      <x:c r="N51" s="17" t="str">
        <x:f>IF(OR(Raw_HR_Data!O49="Processed",Raw_HR_Data!O49="Pending",Raw_HR_Data!O49="Hold"),"OK","Invalid Payroll Status")</x:f>
        <x:v>OK</x:v>
      </x:c>
      <x:c r="O51" s="17">
        <x:f>COUNTIF(D51:N51,"&lt;&gt;OK")-COUNTIF(I51,"Check Source Data")+IF(I51="Check Source Data",1,0)</x:f>
        <x:v>1</x:v>
      </x:c>
      <x:c r="P51" s="17" t="str">
        <x:f>IF(O51=0,"Clean","Error Found")</x:f>
        <x:v>Error Found</x:v>
      </x:c>
      <x:c r="Q51" s="18" t="str">
        <x:f>IF(P51="Clean","No action needed","Review raw record and update Validated_Data")</x:f>
        <x:v>Review raw record and update Validated_Data</x:v>
      </x:c>
    </x:row>
    <x:row r="52">
      <x:c r="A52" s="15" t="str">
        <x:f>Raw_HR_Data!A50</x:f>
        <x:v>EMP15965</x:v>
      </x:c>
      <x:c r="B52" s="16" t="str">
        <x:f>Raw_HR_Data!B50</x:f>
        <x:v>Amira Nair</x:v>
      </x:c>
      <x:c r="C52" s="16" t="str">
        <x:f>Raw_HR_Data!C50</x:f>
        <x:v>Talent Ops</x:v>
      </x:c>
      <x:c r="D52" s="17" t="str">
        <x:f>IF(COUNTIF(Raw_HR_Data!$A$2:$A$221,A52)&gt;1,"Duplicate","OK")</x:f>
        <x:v>OK</x:v>
      </x:c>
      <x:c r="E52" s="17" t="str">
        <x:f>IF(B52="","Missing Name","OK")</x:f>
        <x:v>OK</x:v>
      </x:c>
      <x:c r="F52" s="17" t="str">
        <x:f>IF(Raw_HR_Data!F50="","Missing Salary","OK")</x:f>
        <x:v>OK</x:v>
      </x:c>
      <x:c r="G52" s="17" t="str">
        <x:f>IF(AND(Raw_HR_Data!F50&lt;&gt;"",NOT(ISNUMBER(Raw_HR_Data!F50))),"Invalid Salary Type","OK")</x:f>
        <x:v>OK</x:v>
      </x:c>
      <x:c r="H52" s="17" t="str">
        <x:f>IF(Raw_HR_Data!I50&lt;0,"Invalid Deduction","OK")</x:f>
        <x:v>OK</x:v>
      </x:c>
      <x:c r="I52" s="17" t="str">
        <x:f>IF(OR(NOT(ISNUMBER(Raw_HR_Data!F50)),NOT(ISNUMBER(Raw_HR_Data!G50)),NOT(ISNUMBER(Raw_HR_Data!H50)),NOT(ISNUMBER(Raw_HR_Data!I50))),"Check Source Data",IF(Raw_HR_Data!J50=Raw_HR_Data!F50+Raw_HR_Data!G50+Raw_HR_Data!H50-Raw_HR_Data!I50,"OK","Net Pay Error"))</x:f>
        <x:v>OK</x:v>
      </x:c>
      <x:c r="J52" s="17" t="str">
        <x:f>IF(Raw_HR_Data!K50="","Missing Bank Status","OK")</x:f>
        <x:v>OK</x:v>
      </x:c>
      <x:c r="K52" s="17" t="str">
        <x:f>IF(Raw_HR_Data!L50="","Missing PAN","OK")</x:f>
        <x:v>OK</x:v>
      </x:c>
      <x:c r="L52" s="17" t="str">
        <x:f>IF(Raw_HR_Data!M50&gt;31,"Invalid Attendance","OK")</x:f>
        <x:v>OK</x:v>
      </x:c>
      <x:c r="M52" s="17" t="str">
        <x:f>IF(OR(Raw_HR_Data!N50&gt;10,Raw_HR_Data!N50&gt;Raw_HR_Data!M50),"Invalid Leave","OK")</x:f>
        <x:v>OK</x:v>
      </x:c>
      <x:c r="N52" s="17" t="str">
        <x:f>IF(OR(Raw_HR_Data!O50="Processed",Raw_HR_Data!O50="Pending",Raw_HR_Data!O50="Hold"),"OK","Invalid Payroll Status")</x:f>
        <x:v>OK</x:v>
      </x:c>
      <x:c r="O52" s="17">
        <x:f>COUNTIF(D52:N52,"&lt;&gt;OK")-COUNTIF(I52,"Check Source Data")+IF(I52="Check Source Data",1,0)</x:f>
        <x:v>0</x:v>
      </x:c>
      <x:c r="P52" s="17" t="str">
        <x:f>IF(O52=0,"Clean","Error Found")</x:f>
        <x:v>Clean</x:v>
      </x:c>
      <x:c r="Q52" s="18" t="str">
        <x:f>IF(P52="Clean","No action needed","Review raw record and update Validated_Data")</x:f>
        <x:v>No action needed</x:v>
      </x:c>
    </x:row>
    <x:row r="53">
      <x:c r="A53" s="15" t="str">
        <x:f>Raw_HR_Data!A51</x:f>
        <x:v>EMP43092</x:v>
      </x:c>
      <x:c r="B53" s="16" t="str">
        <x:f>Raw_HR_Data!B51</x:f>
        <x:v>William Davis</x:v>
      </x:c>
      <x:c r="C53" s="16" t="str">
        <x:f>Raw_HR_Data!C51</x:f>
        <x:v>HR Shared Services</x:v>
      </x:c>
      <x:c r="D53" s="17" t="str">
        <x:f>IF(COUNTIF(Raw_HR_Data!$A$2:$A$221,A53)&gt;1,"Duplicate","OK")</x:f>
        <x:v>OK</x:v>
      </x:c>
      <x:c r="E53" s="17" t="str">
        <x:f>IF(B53="","Missing Name","OK")</x:f>
        <x:v>OK</x:v>
      </x:c>
      <x:c r="F53" s="17" t="str">
        <x:f>IF(Raw_HR_Data!F51="","Missing Salary","OK")</x:f>
        <x:v>OK</x:v>
      </x:c>
      <x:c r="G53" s="17" t="str">
        <x:f>IF(AND(Raw_HR_Data!F51&lt;&gt;"",NOT(ISNUMBER(Raw_HR_Data!F51))),"Invalid Salary Type","OK")</x:f>
        <x:v>OK</x:v>
      </x:c>
      <x:c r="H53" s="17" t="str">
        <x:f>IF(Raw_HR_Data!I51&lt;0,"Invalid Deduction","OK")</x:f>
        <x:v>OK</x:v>
      </x:c>
      <x:c r="I53" s="17" t="str">
        <x:f>IF(OR(NOT(ISNUMBER(Raw_HR_Data!F51)),NOT(ISNUMBER(Raw_HR_Data!G51)),NOT(ISNUMBER(Raw_HR_Data!H51)),NOT(ISNUMBER(Raw_HR_Data!I51))),"Check Source Data",IF(Raw_HR_Data!J51=Raw_HR_Data!F51+Raw_HR_Data!G51+Raw_HR_Data!H51-Raw_HR_Data!I51,"OK","Net Pay Error"))</x:f>
        <x:v>OK</x:v>
      </x:c>
      <x:c r="J53" s="17" t="str">
        <x:f>IF(Raw_HR_Data!K51="","Missing Bank Status","OK")</x:f>
        <x:v>OK</x:v>
      </x:c>
      <x:c r="K53" s="17" t="str">
        <x:f>IF(Raw_HR_Data!L51="","Missing PAN","OK")</x:f>
        <x:v>OK</x:v>
      </x:c>
      <x:c r="L53" s="17" t="str">
        <x:f>IF(Raw_HR_Data!M51&gt;31,"Invalid Attendance","OK")</x:f>
        <x:v>OK</x:v>
      </x:c>
      <x:c r="M53" s="17" t="str">
        <x:f>IF(OR(Raw_HR_Data!N51&gt;10,Raw_HR_Data!N51&gt;Raw_HR_Data!M51),"Invalid Leave","OK")</x:f>
        <x:v>OK</x:v>
      </x:c>
      <x:c r="N53" s="17" t="str">
        <x:f>IF(OR(Raw_HR_Data!O51="Processed",Raw_HR_Data!O51="Pending",Raw_HR_Data!O51="Hold"),"OK","Invalid Payroll Status")</x:f>
        <x:v>OK</x:v>
      </x:c>
      <x:c r="O53" s="17">
        <x:f>COUNTIF(D53:N53,"&lt;&gt;OK")-COUNTIF(I53,"Check Source Data")+IF(I53="Check Source Data",1,0)</x:f>
        <x:v>0</x:v>
      </x:c>
      <x:c r="P53" s="17" t="str">
        <x:f>IF(O53=0,"Clean","Error Found")</x:f>
        <x:v>Clean</x:v>
      </x:c>
      <x:c r="Q53" s="18" t="str">
        <x:f>IF(P53="Clean","No action needed","Review raw record and update Validated_Data")</x:f>
        <x:v>No action needed</x:v>
      </x:c>
    </x:row>
    <x:row r="54">
      <x:c r="A54" s="15" t="str">
        <x:f>Raw_HR_Data!A52</x:f>
        <x:v>EMP64548</x:v>
      </x:c>
      <x:c r="B54" s="16" t="str">
        <x:f>Raw_HR_Data!B52</x:f>
        <x:v>James Singh</x:v>
      </x:c>
      <x:c r="C54" s="16" t="str">
        <x:f>Raw_HR_Data!C52</x:f>
        <x:v>Tax Support</x:v>
      </x:c>
      <x:c r="D54" s="17" t="str">
        <x:f>IF(COUNTIF(Raw_HR_Data!$A$2:$A$221,A54)&gt;1,"Duplicate","OK")</x:f>
        <x:v>OK</x:v>
      </x:c>
      <x:c r="E54" s="17" t="str">
        <x:f>IF(B54="","Missing Name","OK")</x:f>
        <x:v>OK</x:v>
      </x:c>
      <x:c r="F54" s="17" t="str">
        <x:f>IF(Raw_HR_Data!F52="","Missing Salary","OK")</x:f>
        <x:v>Missing Salary</x:v>
      </x:c>
      <x:c r="G54" s="17" t="str">
        <x:f>IF(AND(Raw_HR_Data!F52&lt;&gt;"",NOT(ISNUMBER(Raw_HR_Data!F52))),"Invalid Salary Type","OK")</x:f>
        <x:v>OK</x:v>
      </x:c>
      <x:c r="H54" s="17" t="str">
        <x:f>IF(Raw_HR_Data!I52&lt;0,"Invalid Deduction","OK")</x:f>
        <x:v>OK</x:v>
      </x:c>
      <x:c r="I54" s="17" t="str">
        <x:f>IF(OR(NOT(ISNUMBER(Raw_HR_Data!F52)),NOT(ISNUMBER(Raw_HR_Data!G52)),NOT(ISNUMBER(Raw_HR_Data!H52)),NOT(ISNUMBER(Raw_HR_Data!I52))),"Check Source Data",IF(Raw_HR_Data!J52=Raw_HR_Data!F52+Raw_HR_Data!G52+Raw_HR_Data!H52-Raw_HR_Data!I52,"OK","Net Pay Error"))</x:f>
        <x:v>Check Source Data</x:v>
      </x:c>
      <x:c r="J54" s="17" t="str">
        <x:f>IF(Raw_HR_Data!K52="","Missing Bank Status","OK")</x:f>
        <x:v>OK</x:v>
      </x:c>
      <x:c r="K54" s="17" t="str">
        <x:f>IF(Raw_HR_Data!L52="","Missing PAN","OK")</x:f>
        <x:v>OK</x:v>
      </x:c>
      <x:c r="L54" s="17" t="str">
        <x:f>IF(Raw_HR_Data!M52&gt;31,"Invalid Attendance","OK")</x:f>
        <x:v>OK</x:v>
      </x:c>
      <x:c r="M54" s="17" t="str">
        <x:f>IF(OR(Raw_HR_Data!N52&gt;10,Raw_HR_Data!N52&gt;Raw_HR_Data!M52),"Invalid Leave","OK")</x:f>
        <x:v>OK</x:v>
      </x:c>
      <x:c r="N54" s="17" t="str">
        <x:f>IF(OR(Raw_HR_Data!O52="Processed",Raw_HR_Data!O52="Pending",Raw_HR_Data!O52="Hold"),"OK","Invalid Payroll Status")</x:f>
        <x:v>OK</x:v>
      </x:c>
      <x:c r="O54" s="17">
        <x:f>COUNTIF(D54:N54,"&lt;&gt;OK")-COUNTIF(I54,"Check Source Data")+IF(I54="Check Source Data",1,0)</x:f>
        <x:v>2</x:v>
      </x:c>
      <x:c r="P54" s="17" t="str">
        <x:f>IF(O54=0,"Clean","Error Found")</x:f>
        <x:v>Error Found</x:v>
      </x:c>
      <x:c r="Q54" s="18" t="str">
        <x:f>IF(P54="Clean","No action needed","Review raw record and update Validated_Data")</x:f>
        <x:v>Review raw record and update Validated_Data</x:v>
      </x:c>
    </x:row>
    <x:row r="55">
      <x:c r="A55" s="15" t="str">
        <x:f>Raw_HR_Data!A53</x:f>
        <x:v>EMP37235</x:v>
      </x:c>
      <x:c r="B55" s="16" t="str">
        <x:f>Raw_HR_Data!B53</x:f>
        <x:v>Isla Jackson</x:v>
      </x:c>
      <x:c r="C55" s="16" t="str">
        <x:f>Raw_HR_Data!C53</x:f>
        <x:v>HR Shared Services</x:v>
      </x:c>
      <x:c r="D55" s="17" t="str">
        <x:f>IF(COUNTIF(Raw_HR_Data!$A$2:$A$221,A55)&gt;1,"Duplicate","OK")</x:f>
        <x:v>OK</x:v>
      </x:c>
      <x:c r="E55" s="17" t="str">
        <x:f>IF(B55="","Missing Name","OK")</x:f>
        <x:v>OK</x:v>
      </x:c>
      <x:c r="F55" s="17" t="str">
        <x:f>IF(Raw_HR_Data!F53="","Missing Salary","OK")</x:f>
        <x:v>OK</x:v>
      </x:c>
      <x:c r="G55" s="17" t="str">
        <x:f>IF(AND(Raw_HR_Data!F53&lt;&gt;"",NOT(ISNUMBER(Raw_HR_Data!F53))),"Invalid Salary Type","OK")</x:f>
        <x:v>OK</x:v>
      </x:c>
      <x:c r="H55" s="17" t="str">
        <x:f>IF(Raw_HR_Data!I53&lt;0,"Invalid Deduction","OK")</x:f>
        <x:v>OK</x:v>
      </x:c>
      <x:c r="I55" s="17" t="str">
        <x:f>IF(OR(NOT(ISNUMBER(Raw_HR_Data!F53)),NOT(ISNUMBER(Raw_HR_Data!G53)),NOT(ISNUMBER(Raw_HR_Data!H53)),NOT(ISNUMBER(Raw_HR_Data!I53))),"Check Source Data",IF(Raw_HR_Data!J53=Raw_HR_Data!F53+Raw_HR_Data!G53+Raw_HR_Data!H53-Raw_HR_Data!I53,"OK","Net Pay Error"))</x:f>
        <x:v>OK</x:v>
      </x:c>
      <x:c r="J55" s="17" t="str">
        <x:f>IF(Raw_HR_Data!K53="","Missing Bank Status","OK")</x:f>
        <x:v>OK</x:v>
      </x:c>
      <x:c r="K55" s="17" t="str">
        <x:f>IF(Raw_HR_Data!L53="","Missing PAN","OK")</x:f>
        <x:v>OK</x:v>
      </x:c>
      <x:c r="L55" s="17" t="str">
        <x:f>IF(Raw_HR_Data!M53&gt;31,"Invalid Attendance","OK")</x:f>
        <x:v>OK</x:v>
      </x:c>
      <x:c r="M55" s="17" t="str">
        <x:f>IF(OR(Raw_HR_Data!N53&gt;10,Raw_HR_Data!N53&gt;Raw_HR_Data!M53),"Invalid Leave","OK")</x:f>
        <x:v>OK</x:v>
      </x:c>
      <x:c r="N55" s="17" t="str">
        <x:f>IF(OR(Raw_HR_Data!O53="Processed",Raw_HR_Data!O53="Pending",Raw_HR_Data!O53="Hold"),"OK","Invalid Payroll Status")</x:f>
        <x:v>OK</x:v>
      </x:c>
      <x:c r="O55" s="17">
        <x:f>COUNTIF(D55:N55,"&lt;&gt;OK")-COUNTIF(I55,"Check Source Data")+IF(I55="Check Source Data",1,0)</x:f>
        <x:v>0</x:v>
      </x:c>
      <x:c r="P55" s="17" t="str">
        <x:f>IF(O55=0,"Clean","Error Found")</x:f>
        <x:v>Clean</x:v>
      </x:c>
      <x:c r="Q55" s="18" t="str">
        <x:f>IF(P55="Clean","No action needed","Review raw record and update Validated_Data")</x:f>
        <x:v>No action needed</x:v>
      </x:c>
    </x:row>
    <x:row r="56">
      <x:c r="A56" s="15" t="str">
        <x:f>Raw_HR_Data!A54</x:f>
        <x:v>EMP47056</x:v>
      </x:c>
      <x:c r="B56" s="16" t="str">
        <x:f>Raw_HR_Data!B54</x:f>
        <x:v>Vikram Brown</x:v>
      </x:c>
      <x:c r="C56" s="16" t="str">
        <x:f>Raw_HR_Data!C54</x:f>
        <x:v>Benefits Team</x:v>
      </x:c>
      <x:c r="D56" s="17" t="str">
        <x:f>IF(COUNTIF(Raw_HR_Data!$A$2:$A$221,A56)&gt;1,"Duplicate","OK")</x:f>
        <x:v>OK</x:v>
      </x:c>
      <x:c r="E56" s="17" t="str">
        <x:f>IF(B56="","Missing Name","OK")</x:f>
        <x:v>OK</x:v>
      </x:c>
      <x:c r="F56" s="17" t="str">
        <x:f>IF(Raw_HR_Data!F54="","Missing Salary","OK")</x:f>
        <x:v>OK</x:v>
      </x:c>
      <x:c r="G56" s="17" t="str">
        <x:f>IF(AND(Raw_HR_Data!F54&lt;&gt;"",NOT(ISNUMBER(Raw_HR_Data!F54))),"Invalid Salary Type","OK")</x:f>
        <x:v>OK</x:v>
      </x:c>
      <x:c r="H56" s="17" t="str">
        <x:f>IF(Raw_HR_Data!I54&lt;0,"Invalid Deduction","OK")</x:f>
        <x:v>OK</x:v>
      </x:c>
      <x:c r="I56" s="17" t="str">
        <x:f>IF(OR(NOT(ISNUMBER(Raw_HR_Data!F54)),NOT(ISNUMBER(Raw_HR_Data!G54)),NOT(ISNUMBER(Raw_HR_Data!H54)),NOT(ISNUMBER(Raw_HR_Data!I54))),"Check Source Data",IF(Raw_HR_Data!J54=Raw_HR_Data!F54+Raw_HR_Data!G54+Raw_HR_Data!H54-Raw_HR_Data!I54,"OK","Net Pay Error"))</x:f>
        <x:v>OK</x:v>
      </x:c>
      <x:c r="J56" s="17" t="str">
        <x:f>IF(Raw_HR_Data!K54="","Missing Bank Status","OK")</x:f>
        <x:v>OK</x:v>
      </x:c>
      <x:c r="K56" s="17" t="str">
        <x:f>IF(Raw_HR_Data!L54="","Missing PAN","OK")</x:f>
        <x:v>OK</x:v>
      </x:c>
      <x:c r="L56" s="17" t="str">
        <x:f>IF(Raw_HR_Data!M54&gt;31,"Invalid Attendance","OK")</x:f>
        <x:v>OK</x:v>
      </x:c>
      <x:c r="M56" s="17" t="str">
        <x:f>IF(OR(Raw_HR_Data!N54&gt;10,Raw_HR_Data!N54&gt;Raw_HR_Data!M54),"Invalid Leave","OK")</x:f>
        <x:v>OK</x:v>
      </x:c>
      <x:c r="N56" s="17" t="str">
        <x:f>IF(OR(Raw_HR_Data!O54="Processed",Raw_HR_Data!O54="Pending",Raw_HR_Data!O54="Hold"),"OK","Invalid Payroll Status")</x:f>
        <x:v>OK</x:v>
      </x:c>
      <x:c r="O56" s="17">
        <x:f>COUNTIF(D56:N56,"&lt;&gt;OK")-COUNTIF(I56,"Check Source Data")+IF(I56="Check Source Data",1,0)</x:f>
        <x:v>0</x:v>
      </x:c>
      <x:c r="P56" s="17" t="str">
        <x:f>IF(O56=0,"Clean","Error Found")</x:f>
        <x:v>Clean</x:v>
      </x:c>
      <x:c r="Q56" s="18" t="str">
        <x:f>IF(P56="Clean","No action needed","Review raw record and update Validated_Data")</x:f>
        <x:v>No action needed</x:v>
      </x:c>
    </x:row>
    <x:row r="57">
      <x:c r="A57" s="15" t="str">
        <x:f>Raw_HR_Data!A55</x:f>
        <x:v>EMP87993</x:v>
      </x:c>
      <x:c r="B57" s="16" t="str">
        <x:f>Raw_HR_Data!B55</x:f>
        <x:v>Lucas Mehta</x:v>
      </x:c>
      <x:c r="C57" s="16" t="str">
        <x:f>Raw_HR_Data!C55</x:f>
        <x:v>HR Shared Services</x:v>
      </x:c>
      <x:c r="D57" s="17" t="str">
        <x:f>IF(COUNTIF(Raw_HR_Data!$A$2:$A$221,A57)&gt;1,"Duplicate","OK")</x:f>
        <x:v>OK</x:v>
      </x:c>
      <x:c r="E57" s="17" t="str">
        <x:f>IF(B57="","Missing Name","OK")</x:f>
        <x:v>OK</x:v>
      </x:c>
      <x:c r="F57" s="17" t="str">
        <x:f>IF(Raw_HR_Data!F55="","Missing Salary","OK")</x:f>
        <x:v>OK</x:v>
      </x:c>
      <x:c r="G57" s="17" t="str">
        <x:f>IF(AND(Raw_HR_Data!F55&lt;&gt;"",NOT(ISNUMBER(Raw_HR_Data!F55))),"Invalid Salary Type","OK")</x:f>
        <x:v>OK</x:v>
      </x:c>
      <x:c r="H57" s="17" t="str">
        <x:f>IF(Raw_HR_Data!I55&lt;0,"Invalid Deduction","OK")</x:f>
        <x:v>OK</x:v>
      </x:c>
      <x:c r="I57" s="17" t="str">
        <x:f>IF(OR(NOT(ISNUMBER(Raw_HR_Data!F55)),NOT(ISNUMBER(Raw_HR_Data!G55)),NOT(ISNUMBER(Raw_HR_Data!H55)),NOT(ISNUMBER(Raw_HR_Data!I55))),"Check Source Data",IF(Raw_HR_Data!J55=Raw_HR_Data!F55+Raw_HR_Data!G55+Raw_HR_Data!H55-Raw_HR_Data!I55,"OK","Net Pay Error"))</x:f>
        <x:v>OK</x:v>
      </x:c>
      <x:c r="J57" s="17" t="str">
        <x:f>IF(Raw_HR_Data!K55="","Missing Bank Status","OK")</x:f>
        <x:v>OK</x:v>
      </x:c>
      <x:c r="K57" s="17" t="str">
        <x:f>IF(Raw_HR_Data!L55="","Missing PAN","OK")</x:f>
        <x:v>OK</x:v>
      </x:c>
      <x:c r="L57" s="17" t="str">
        <x:f>IF(Raw_HR_Data!M55&gt;31,"Invalid Attendance","OK")</x:f>
        <x:v>OK</x:v>
      </x:c>
      <x:c r="M57" s="17" t="str">
        <x:f>IF(OR(Raw_HR_Data!N55&gt;10,Raw_HR_Data!N55&gt;Raw_HR_Data!M55),"Invalid Leave","OK")</x:f>
        <x:v>OK</x:v>
      </x:c>
      <x:c r="N57" s="17" t="str">
        <x:f>IF(OR(Raw_HR_Data!O55="Processed",Raw_HR_Data!O55="Pending",Raw_HR_Data!O55="Hold"),"OK","Invalid Payroll Status")</x:f>
        <x:v>OK</x:v>
      </x:c>
      <x:c r="O57" s="17">
        <x:f>COUNTIF(D57:N57,"&lt;&gt;OK")-COUNTIF(I57,"Check Source Data")+IF(I57="Check Source Data",1,0)</x:f>
        <x:v>0</x:v>
      </x:c>
      <x:c r="P57" s="17" t="str">
        <x:f>IF(O57=0,"Clean","Error Found")</x:f>
        <x:v>Clean</x:v>
      </x:c>
      <x:c r="Q57" s="18" t="str">
        <x:f>IF(P57="Clean","No action needed","Review raw record and update Validated_Data")</x:f>
        <x:v>No action needed</x:v>
      </x:c>
    </x:row>
    <x:row r="58">
      <x:c r="A58" s="15" t="str">
        <x:f>Raw_HR_Data!A56</x:f>
        <x:v>EMP13390</x:v>
      </x:c>
      <x:c r="B58" s="16" t="str">
        <x:f>Raw_HR_Data!B56</x:f>
        <x:v>Arjun Iyer</x:v>
      </x:c>
      <x:c r="C58" s="16" t="str">
        <x:f>Raw_HR_Data!C56</x:f>
        <x:v>Consulting Ops</x:v>
      </x:c>
      <x:c r="D58" s="17" t="str">
        <x:f>IF(COUNTIF(Raw_HR_Data!$A$2:$A$221,A58)&gt;1,"Duplicate","OK")</x:f>
        <x:v>OK</x:v>
      </x:c>
      <x:c r="E58" s="17" t="str">
        <x:f>IF(B58="","Missing Name","OK")</x:f>
        <x:v>OK</x:v>
      </x:c>
      <x:c r="F58" s="17" t="str">
        <x:f>IF(Raw_HR_Data!F56="","Missing Salary","OK")</x:f>
        <x:v>Missing Salary</x:v>
      </x:c>
      <x:c r="G58" s="17" t="str">
        <x:f>IF(AND(Raw_HR_Data!F56&lt;&gt;"",NOT(ISNUMBER(Raw_HR_Data!F56))),"Invalid Salary Type","OK")</x:f>
        <x:v>OK</x:v>
      </x:c>
      <x:c r="H58" s="17" t="str">
        <x:f>IF(Raw_HR_Data!I56&lt;0,"Invalid Deduction","OK")</x:f>
        <x:v>OK</x:v>
      </x:c>
      <x:c r="I58" s="17" t="str">
        <x:f>IF(OR(NOT(ISNUMBER(Raw_HR_Data!F56)),NOT(ISNUMBER(Raw_HR_Data!G56)),NOT(ISNUMBER(Raw_HR_Data!H56)),NOT(ISNUMBER(Raw_HR_Data!I56))),"Check Source Data",IF(Raw_HR_Data!J56=Raw_HR_Data!F56+Raw_HR_Data!G56+Raw_HR_Data!H56-Raw_HR_Data!I56,"OK","Net Pay Error"))</x:f>
        <x:v>Check Source Data</x:v>
      </x:c>
      <x:c r="J58" s="17" t="str">
        <x:f>IF(Raw_HR_Data!K56="","Missing Bank Status","OK")</x:f>
        <x:v>OK</x:v>
      </x:c>
      <x:c r="K58" s="17" t="str">
        <x:f>IF(Raw_HR_Data!L56="","Missing PAN","OK")</x:f>
        <x:v>OK</x:v>
      </x:c>
      <x:c r="L58" s="17" t="str">
        <x:f>IF(Raw_HR_Data!M56&gt;31,"Invalid Attendance","OK")</x:f>
        <x:v>OK</x:v>
      </x:c>
      <x:c r="M58" s="17" t="str">
        <x:f>IF(OR(Raw_HR_Data!N56&gt;10,Raw_HR_Data!N56&gt;Raw_HR_Data!M56),"Invalid Leave","OK")</x:f>
        <x:v>OK</x:v>
      </x:c>
      <x:c r="N58" s="17" t="str">
        <x:f>IF(OR(Raw_HR_Data!O56="Processed",Raw_HR_Data!O56="Pending",Raw_HR_Data!O56="Hold"),"OK","Invalid Payroll Status")</x:f>
        <x:v>OK</x:v>
      </x:c>
      <x:c r="O58" s="17">
        <x:f>COUNTIF(D58:N58,"&lt;&gt;OK")-COUNTIF(I58,"Check Source Data")+IF(I58="Check Source Data",1,0)</x:f>
        <x:v>2</x:v>
      </x:c>
      <x:c r="P58" s="17" t="str">
        <x:f>IF(O58=0,"Clean","Error Found")</x:f>
        <x:v>Error Found</x:v>
      </x:c>
      <x:c r="Q58" s="18" t="str">
        <x:f>IF(P58="Clean","No action needed","Review raw record and update Validated_Data")</x:f>
        <x:v>Review raw record and update Validated_Data</x:v>
      </x:c>
    </x:row>
    <x:row r="59">
      <x:c r="A59" s="15" t="str">
        <x:f>Raw_HR_Data!A57</x:f>
        <x:v>EMP67132</x:v>
      </x:c>
      <x:c r="B59" s="16" t="str">
        <x:f>Raw_HR_Data!B57</x:f>
        <x:v>Charlotte Brown</x:v>
      </x:c>
      <x:c r="C59" s="16" t="str">
        <x:f>Raw_HR_Data!C57</x:f>
        <x:v>Audit Support</x:v>
      </x:c>
      <x:c r="D59" s="17" t="str">
        <x:f>IF(COUNTIF(Raw_HR_Data!$A$2:$A$221,A59)&gt;1,"Duplicate","OK")</x:f>
        <x:v>OK</x:v>
      </x:c>
      <x:c r="E59" s="17" t="str">
        <x:f>IF(B59="","Missing Name","OK")</x:f>
        <x:v>OK</x:v>
      </x:c>
      <x:c r="F59" s="17" t="str">
        <x:f>IF(Raw_HR_Data!F57="","Missing Salary","OK")</x:f>
        <x:v>OK</x:v>
      </x:c>
      <x:c r="G59" s="17" t="str">
        <x:f>IF(AND(Raw_HR_Data!F57&lt;&gt;"",NOT(ISNUMBER(Raw_HR_Data!F57))),"Invalid Salary Type","OK")</x:f>
        <x:v>OK</x:v>
      </x:c>
      <x:c r="H59" s="17" t="str">
        <x:f>IF(Raw_HR_Data!I57&lt;0,"Invalid Deduction","OK")</x:f>
        <x:v>OK</x:v>
      </x:c>
      <x:c r="I59" s="17" t="str">
        <x:f>IF(OR(NOT(ISNUMBER(Raw_HR_Data!F57)),NOT(ISNUMBER(Raw_HR_Data!G57)),NOT(ISNUMBER(Raw_HR_Data!H57)),NOT(ISNUMBER(Raw_HR_Data!I57))),"Check Source Data",IF(Raw_HR_Data!J57=Raw_HR_Data!F57+Raw_HR_Data!G57+Raw_HR_Data!H57-Raw_HR_Data!I57,"OK","Net Pay Error"))</x:f>
        <x:v>OK</x:v>
      </x:c>
      <x:c r="J59" s="17" t="str">
        <x:f>IF(Raw_HR_Data!K57="","Missing Bank Status","OK")</x:f>
        <x:v>OK</x:v>
      </x:c>
      <x:c r="K59" s="17" t="str">
        <x:f>IF(Raw_HR_Data!L57="","Missing PAN","OK")</x:f>
        <x:v>OK</x:v>
      </x:c>
      <x:c r="L59" s="17" t="str">
        <x:f>IF(Raw_HR_Data!M57&gt;31,"Invalid Attendance","OK")</x:f>
        <x:v>OK</x:v>
      </x:c>
      <x:c r="M59" s="17" t="str">
        <x:f>IF(OR(Raw_HR_Data!N57&gt;10,Raw_HR_Data!N57&gt;Raw_HR_Data!M57),"Invalid Leave","OK")</x:f>
        <x:v>OK</x:v>
      </x:c>
      <x:c r="N59" s="17" t="str">
        <x:f>IF(OR(Raw_HR_Data!O57="Processed",Raw_HR_Data!O57="Pending",Raw_HR_Data!O57="Hold"),"OK","Invalid Payroll Status")</x:f>
        <x:v>OK</x:v>
      </x:c>
      <x:c r="O59" s="17">
        <x:f>COUNTIF(D59:N59,"&lt;&gt;OK")-COUNTIF(I59,"Check Source Data")+IF(I59="Check Source Data",1,0)</x:f>
        <x:v>0</x:v>
      </x:c>
      <x:c r="P59" s="17" t="str">
        <x:f>IF(O59=0,"Clean","Error Found")</x:f>
        <x:v>Clean</x:v>
      </x:c>
      <x:c r="Q59" s="18" t="str">
        <x:f>IF(P59="Clean","No action needed","Review raw record and update Validated_Data")</x:f>
        <x:v>No action needed</x:v>
      </x:c>
    </x:row>
    <x:row r="60">
      <x:c r="A60" s="15" t="str">
        <x:f>Raw_HR_Data!A58</x:f>
        <x:v>EMP82102</x:v>
      </x:c>
      <x:c r="B60" s="16" t="str">
        <x:f>Raw_HR_Data!B58</x:f>
        <x:v>Akash Mehta</x:v>
      </x:c>
      <x:c r="C60" s="16" t="str">
        <x:f>Raw_HR_Data!C58</x:f>
        <x:v>HR Shared Services</x:v>
      </x:c>
      <x:c r="D60" s="17" t="str">
        <x:f>IF(COUNTIF(Raw_HR_Data!$A$2:$A$221,A60)&gt;1,"Duplicate","OK")</x:f>
        <x:v>OK</x:v>
      </x:c>
      <x:c r="E60" s="17" t="str">
        <x:f>IF(B60="","Missing Name","OK")</x:f>
        <x:v>OK</x:v>
      </x:c>
      <x:c r="F60" s="17" t="str">
        <x:f>IF(Raw_HR_Data!F58="","Missing Salary","OK")</x:f>
        <x:v>OK</x:v>
      </x:c>
      <x:c r="G60" s="17" t="str">
        <x:f>IF(AND(Raw_HR_Data!F58&lt;&gt;"",NOT(ISNUMBER(Raw_HR_Data!F58))),"Invalid Salary Type","OK")</x:f>
        <x:v>OK</x:v>
      </x:c>
      <x:c r="H60" s="17" t="str">
        <x:f>IF(Raw_HR_Data!I58&lt;0,"Invalid Deduction","OK")</x:f>
        <x:v>OK</x:v>
      </x:c>
      <x:c r="I60" s="17" t="str">
        <x:f>IF(OR(NOT(ISNUMBER(Raw_HR_Data!F58)),NOT(ISNUMBER(Raw_HR_Data!G58)),NOT(ISNUMBER(Raw_HR_Data!H58)),NOT(ISNUMBER(Raw_HR_Data!I58))),"Check Source Data",IF(Raw_HR_Data!J58=Raw_HR_Data!F58+Raw_HR_Data!G58+Raw_HR_Data!H58-Raw_HR_Data!I58,"OK","Net Pay Error"))</x:f>
        <x:v>OK</x:v>
      </x:c>
      <x:c r="J60" s="17" t="str">
        <x:f>IF(Raw_HR_Data!K58="","Missing Bank Status","OK")</x:f>
        <x:v>OK</x:v>
      </x:c>
      <x:c r="K60" s="17" t="str">
        <x:f>IF(Raw_HR_Data!L58="","Missing PAN","OK")</x:f>
        <x:v>OK</x:v>
      </x:c>
      <x:c r="L60" s="17" t="str">
        <x:f>IF(Raw_HR_Data!M58&gt;31,"Invalid Attendance","OK")</x:f>
        <x:v>OK</x:v>
      </x:c>
      <x:c r="M60" s="17" t="str">
        <x:f>IF(OR(Raw_HR_Data!N58&gt;10,Raw_HR_Data!N58&gt;Raw_HR_Data!M58),"Invalid Leave","OK")</x:f>
        <x:v>OK</x:v>
      </x:c>
      <x:c r="N60" s="17" t="str">
        <x:f>IF(OR(Raw_HR_Data!O58="Processed",Raw_HR_Data!O58="Pending",Raw_HR_Data!O58="Hold"),"OK","Invalid Payroll Status")</x:f>
        <x:v>OK</x:v>
      </x:c>
      <x:c r="O60" s="17">
        <x:f>COUNTIF(D60:N60,"&lt;&gt;OK")-COUNTIF(I60,"Check Source Data")+IF(I60="Check Source Data",1,0)</x:f>
        <x:v>0</x:v>
      </x:c>
      <x:c r="P60" s="17" t="str">
        <x:f>IF(O60=0,"Clean","Error Found")</x:f>
        <x:v>Clean</x:v>
      </x:c>
      <x:c r="Q60" s="18" t="str">
        <x:f>IF(P60="Clean","No action needed","Review raw record and update Validated_Data")</x:f>
        <x:v>No action needed</x:v>
      </x:c>
    </x:row>
    <x:row r="61">
      <x:c r="A61" s="15" t="str">
        <x:f>Raw_HR_Data!A59</x:f>
        <x:v>EMP57419</x:v>
      </x:c>
      <x:c r="B61" s="16" t="str">
        <x:f>Raw_HR_Data!B59</x:f>
        <x:v>Charlotte Rao</x:v>
      </x:c>
      <x:c r="C61" s="16" t="str">
        <x:f>Raw_HR_Data!C59</x:f>
        <x:v>Audit Support</x:v>
      </x:c>
      <x:c r="D61" s="17" t="str">
        <x:f>IF(COUNTIF(Raw_HR_Data!$A$2:$A$221,A61)&gt;1,"Duplicate","OK")</x:f>
        <x:v>OK</x:v>
      </x:c>
      <x:c r="E61" s="17" t="str">
        <x:f>IF(B61="","Missing Name","OK")</x:f>
        <x:v>OK</x:v>
      </x:c>
      <x:c r="F61" s="17" t="str">
        <x:f>IF(Raw_HR_Data!F59="","Missing Salary","OK")</x:f>
        <x:v>OK</x:v>
      </x:c>
      <x:c r="G61" s="17" t="str">
        <x:f>IF(AND(Raw_HR_Data!F59&lt;&gt;"",NOT(ISNUMBER(Raw_HR_Data!F59))),"Invalid Salary Type","OK")</x:f>
        <x:v>OK</x:v>
      </x:c>
      <x:c r="H61" s="17" t="str">
        <x:f>IF(Raw_HR_Data!I59&lt;0,"Invalid Deduction","OK")</x:f>
        <x:v>OK</x:v>
      </x:c>
      <x:c r="I61" s="17" t="str">
        <x:f>IF(OR(NOT(ISNUMBER(Raw_HR_Data!F59)),NOT(ISNUMBER(Raw_HR_Data!G59)),NOT(ISNUMBER(Raw_HR_Data!H59)),NOT(ISNUMBER(Raw_HR_Data!I59))),"Check Source Data",IF(Raw_HR_Data!J59=Raw_HR_Data!F59+Raw_HR_Data!G59+Raw_HR_Data!H59-Raw_HR_Data!I59,"OK","Net Pay Error"))</x:f>
        <x:v>OK</x:v>
      </x:c>
      <x:c r="J61" s="17" t="str">
        <x:f>IF(Raw_HR_Data!K59="","Missing Bank Status","OK")</x:f>
        <x:v>OK</x:v>
      </x:c>
      <x:c r="K61" s="17" t="str">
        <x:f>IF(Raw_HR_Data!L59="","Missing PAN","OK")</x:f>
        <x:v>OK</x:v>
      </x:c>
      <x:c r="L61" s="17" t="str">
        <x:f>IF(Raw_HR_Data!M59&gt;31,"Invalid Attendance","OK")</x:f>
        <x:v>OK</x:v>
      </x:c>
      <x:c r="M61" s="17" t="str">
        <x:f>IF(OR(Raw_HR_Data!N59&gt;10,Raw_HR_Data!N59&gt;Raw_HR_Data!M59),"Invalid Leave","OK")</x:f>
        <x:v>OK</x:v>
      </x:c>
      <x:c r="N61" s="17" t="str">
        <x:f>IF(OR(Raw_HR_Data!O59="Processed",Raw_HR_Data!O59="Pending",Raw_HR_Data!O59="Hold"),"OK","Invalid Payroll Status")</x:f>
        <x:v>OK</x:v>
      </x:c>
      <x:c r="O61" s="17">
        <x:f>COUNTIF(D61:N61,"&lt;&gt;OK")-COUNTIF(I61,"Check Source Data")+IF(I61="Check Source Data",1,0)</x:f>
        <x:v>0</x:v>
      </x:c>
      <x:c r="P61" s="17" t="str">
        <x:f>IF(O61=0,"Clean","Error Found")</x:f>
        <x:v>Clean</x:v>
      </x:c>
      <x:c r="Q61" s="18" t="str">
        <x:f>IF(P61="Clean","No action needed","Review raw record and update Validated_Data")</x:f>
        <x:v>No action needed</x:v>
      </x:c>
    </x:row>
    <x:row r="62">
      <x:c r="A62" s="15" t="str">
        <x:f>Raw_HR_Data!A60</x:f>
        <x:v>EMP50730</x:v>
      </x:c>
      <x:c r="B62" s="16" t="str">
        <x:f>Raw_HR_Data!B60</x:f>
        <x:v>Aarav Nair</x:v>
      </x:c>
      <x:c r="C62" s="16" t="str">
        <x:f>Raw_HR_Data!C60</x:f>
        <x:v>Risk Advisory</x:v>
      </x:c>
      <x:c r="D62" s="17" t="str">
        <x:f>IF(COUNTIF(Raw_HR_Data!$A$2:$A$221,A62)&gt;1,"Duplicate","OK")</x:f>
        <x:v>Duplicate</x:v>
      </x:c>
      <x:c r="E62" s="17" t="str">
        <x:f>IF(B62="","Missing Name","OK")</x:f>
        <x:v>OK</x:v>
      </x:c>
      <x:c r="F62" s="17" t="str">
        <x:f>IF(Raw_HR_Data!F60="","Missing Salary","OK")</x:f>
        <x:v>OK</x:v>
      </x:c>
      <x:c r="G62" s="17" t="str">
        <x:f>IF(AND(Raw_HR_Data!F60&lt;&gt;"",NOT(ISNUMBER(Raw_HR_Data!F60))),"Invalid Salary Type","OK")</x:f>
        <x:v>OK</x:v>
      </x:c>
      <x:c r="H62" s="17" t="str">
        <x:f>IF(Raw_HR_Data!I60&lt;0,"Invalid Deduction","OK")</x:f>
        <x:v>OK</x:v>
      </x:c>
      <x:c r="I62" s="17" t="str">
        <x:f>IF(OR(NOT(ISNUMBER(Raw_HR_Data!F60)),NOT(ISNUMBER(Raw_HR_Data!G60)),NOT(ISNUMBER(Raw_HR_Data!H60)),NOT(ISNUMBER(Raw_HR_Data!I60))),"Check Source Data",IF(Raw_HR_Data!J60=Raw_HR_Data!F60+Raw_HR_Data!G60+Raw_HR_Data!H60-Raw_HR_Data!I60,"OK","Net Pay Error"))</x:f>
        <x:v>OK</x:v>
      </x:c>
      <x:c r="J62" s="17" t="str">
        <x:f>IF(Raw_HR_Data!K60="","Missing Bank Status","OK")</x:f>
        <x:v>OK</x:v>
      </x:c>
      <x:c r="K62" s="17" t="str">
        <x:f>IF(Raw_HR_Data!L60="","Missing PAN","OK")</x:f>
        <x:v>OK</x:v>
      </x:c>
      <x:c r="L62" s="17" t="str">
        <x:f>IF(Raw_HR_Data!M60&gt;31,"Invalid Attendance","OK")</x:f>
        <x:v>OK</x:v>
      </x:c>
      <x:c r="M62" s="17" t="str">
        <x:f>IF(OR(Raw_HR_Data!N60&gt;10,Raw_HR_Data!N60&gt;Raw_HR_Data!M60),"Invalid Leave","OK")</x:f>
        <x:v>OK</x:v>
      </x:c>
      <x:c r="N62" s="17" t="str">
        <x:f>IF(OR(Raw_HR_Data!O60="Processed",Raw_HR_Data!O60="Pending",Raw_HR_Data!O60="Hold"),"OK","Invalid Payroll Status")</x:f>
        <x:v>Invalid Payroll Status</x:v>
      </x:c>
      <x:c r="O62" s="17">
        <x:f>COUNTIF(D62:N62,"&lt;&gt;OK")-COUNTIF(I62,"Check Source Data")+IF(I62="Check Source Data",1,0)</x:f>
        <x:v>2</x:v>
      </x:c>
      <x:c r="P62" s="17" t="str">
        <x:f>IF(O62=0,"Clean","Error Found")</x:f>
        <x:v>Error Found</x:v>
      </x:c>
      <x:c r="Q62" s="18" t="str">
        <x:f>IF(P62="Clean","No action needed","Review raw record and update Validated_Data")</x:f>
        <x:v>Review raw record and update Validated_Data</x:v>
      </x:c>
    </x:row>
    <x:row r="63">
      <x:c r="A63" s="15" t="str">
        <x:f>Raw_HR_Data!A61</x:f>
        <x:v>EMP73242</x:v>
      </x:c>
      <x:c r="B63" s="16" t="str">
        <x:f>Raw_HR_Data!B61</x:f>
        <x:v>William Iyer</x:v>
      </x:c>
      <x:c r="C63" s="16" t="str">
        <x:f>Raw_HR_Data!C61</x:f>
        <x:v>Audit Support</x:v>
      </x:c>
      <x:c r="D63" s="17" t="str">
        <x:f>IF(COUNTIF(Raw_HR_Data!$A$2:$A$221,A63)&gt;1,"Duplicate","OK")</x:f>
        <x:v>OK</x:v>
      </x:c>
      <x:c r="E63" s="17" t="str">
        <x:f>IF(B63="","Missing Name","OK")</x:f>
        <x:v>OK</x:v>
      </x:c>
      <x:c r="F63" s="17" t="str">
        <x:f>IF(Raw_HR_Data!F61="","Missing Salary","OK")</x:f>
        <x:v>OK</x:v>
      </x:c>
      <x:c r="G63" s="17" t="str">
        <x:f>IF(AND(Raw_HR_Data!F61&lt;&gt;"",NOT(ISNUMBER(Raw_HR_Data!F61))),"Invalid Salary Type","OK")</x:f>
        <x:v>OK</x:v>
      </x:c>
      <x:c r="H63" s="17" t="str">
        <x:f>IF(Raw_HR_Data!I61&lt;0,"Invalid Deduction","OK")</x:f>
        <x:v>OK</x:v>
      </x:c>
      <x:c r="I63" s="17" t="str">
        <x:f>IF(OR(NOT(ISNUMBER(Raw_HR_Data!F61)),NOT(ISNUMBER(Raw_HR_Data!G61)),NOT(ISNUMBER(Raw_HR_Data!H61)),NOT(ISNUMBER(Raw_HR_Data!I61))),"Check Source Data",IF(Raw_HR_Data!J61=Raw_HR_Data!F61+Raw_HR_Data!G61+Raw_HR_Data!H61-Raw_HR_Data!I61,"OK","Net Pay Error"))</x:f>
        <x:v>OK</x:v>
      </x:c>
      <x:c r="J63" s="17" t="str">
        <x:f>IF(Raw_HR_Data!K61="","Missing Bank Status","OK")</x:f>
        <x:v>OK</x:v>
      </x:c>
      <x:c r="K63" s="17" t="str">
        <x:f>IF(Raw_HR_Data!L61="","Missing PAN","OK")</x:f>
        <x:v>OK</x:v>
      </x:c>
      <x:c r="L63" s="17" t="str">
        <x:f>IF(Raw_HR_Data!M61&gt;31,"Invalid Attendance","OK")</x:f>
        <x:v>OK</x:v>
      </x:c>
      <x:c r="M63" s="17" t="str">
        <x:f>IF(OR(Raw_HR_Data!N61&gt;10,Raw_HR_Data!N61&gt;Raw_HR_Data!M61),"Invalid Leave","OK")</x:f>
        <x:v>OK</x:v>
      </x:c>
      <x:c r="N63" s="17" t="str">
        <x:f>IF(OR(Raw_HR_Data!O61="Processed",Raw_HR_Data!O61="Pending",Raw_HR_Data!O61="Hold"),"OK","Invalid Payroll Status")</x:f>
        <x:v>OK</x:v>
      </x:c>
      <x:c r="O63" s="17">
        <x:f>COUNTIF(D63:N63,"&lt;&gt;OK")-COUNTIF(I63,"Check Source Data")+IF(I63="Check Source Data",1,0)</x:f>
        <x:v>0</x:v>
      </x:c>
      <x:c r="P63" s="17" t="str">
        <x:f>IF(O63=0,"Clean","Error Found")</x:f>
        <x:v>Clean</x:v>
      </x:c>
      <x:c r="Q63" s="18" t="str">
        <x:f>IF(P63="Clean","No action needed","Review raw record and update Validated_Data")</x:f>
        <x:v>No action needed</x:v>
      </x:c>
    </x:row>
    <x:row r="64">
      <x:c r="A64" s="15" t="str">
        <x:f>Raw_HR_Data!A62</x:f>
        <x:v>EMP10336</x:v>
      </x:c>
      <x:c r="B64" s="16" t="str">
        <x:f>Raw_HR_Data!B62</x:f>
        <x:v>Lucas Sharma</x:v>
      </x:c>
      <x:c r="C64" s="16" t="str">
        <x:f>Raw_HR_Data!C62</x:f>
        <x:v>Talent Ops</x:v>
      </x:c>
      <x:c r="D64" s="17" t="str">
        <x:f>IF(COUNTIF(Raw_HR_Data!$A$2:$A$221,A64)&gt;1,"Duplicate","OK")</x:f>
        <x:v>OK</x:v>
      </x:c>
      <x:c r="E64" s="17" t="str">
        <x:f>IF(B64="","Missing Name","OK")</x:f>
        <x:v>OK</x:v>
      </x:c>
      <x:c r="F64" s="17" t="str">
        <x:f>IF(Raw_HR_Data!F62="","Missing Salary","OK")</x:f>
        <x:v>OK</x:v>
      </x:c>
      <x:c r="G64" s="17" t="str">
        <x:f>IF(AND(Raw_HR_Data!F62&lt;&gt;"",NOT(ISNUMBER(Raw_HR_Data!F62))),"Invalid Salary Type","OK")</x:f>
        <x:v>OK</x:v>
      </x:c>
      <x:c r="H64" s="17" t="str">
        <x:f>IF(Raw_HR_Data!I62&lt;0,"Invalid Deduction","OK")</x:f>
        <x:v>OK</x:v>
      </x:c>
      <x:c r="I64" s="17" t="str">
        <x:f>IF(OR(NOT(ISNUMBER(Raw_HR_Data!F62)),NOT(ISNUMBER(Raw_HR_Data!G62)),NOT(ISNUMBER(Raw_HR_Data!H62)),NOT(ISNUMBER(Raw_HR_Data!I62))),"Check Source Data",IF(Raw_HR_Data!J62=Raw_HR_Data!F62+Raw_HR_Data!G62+Raw_HR_Data!H62-Raw_HR_Data!I62,"OK","Net Pay Error"))</x:f>
        <x:v>OK</x:v>
      </x:c>
      <x:c r="J64" s="17" t="str">
        <x:f>IF(Raw_HR_Data!K62="","Missing Bank Status","OK")</x:f>
        <x:v>OK</x:v>
      </x:c>
      <x:c r="K64" s="17" t="str">
        <x:f>IF(Raw_HR_Data!L62="","Missing PAN","OK")</x:f>
        <x:v>OK</x:v>
      </x:c>
      <x:c r="L64" s="17" t="str">
        <x:f>IF(Raw_HR_Data!M62&gt;31,"Invalid Attendance","OK")</x:f>
        <x:v>OK</x:v>
      </x:c>
      <x:c r="M64" s="17" t="str">
        <x:f>IF(OR(Raw_HR_Data!N62&gt;10,Raw_HR_Data!N62&gt;Raw_HR_Data!M62),"Invalid Leave","OK")</x:f>
        <x:v>OK</x:v>
      </x:c>
      <x:c r="N64" s="17" t="str">
        <x:f>IF(OR(Raw_HR_Data!O62="Processed",Raw_HR_Data!O62="Pending",Raw_HR_Data!O62="Hold"),"OK","Invalid Payroll Status")</x:f>
        <x:v>OK</x:v>
      </x:c>
      <x:c r="O64" s="17">
        <x:f>COUNTIF(D64:N64,"&lt;&gt;OK")-COUNTIF(I64,"Check Source Data")+IF(I64="Check Source Data",1,0)</x:f>
        <x:v>0</x:v>
      </x:c>
      <x:c r="P64" s="17" t="str">
        <x:f>IF(O64=0,"Clean","Error Found")</x:f>
        <x:v>Clean</x:v>
      </x:c>
      <x:c r="Q64" s="18" t="str">
        <x:f>IF(P64="Clean","No action needed","Review raw record and update Validated_Data")</x:f>
        <x:v>No action needed</x:v>
      </x:c>
    </x:row>
    <x:row r="65">
      <x:c r="A65" s="15" t="str">
        <x:f>Raw_HR_Data!A63</x:f>
        <x:v>EMP41300</x:v>
      </x:c>
      <x:c r="B65" s="16" t="str">
        <x:f>Raw_HR_Data!B63</x:f>
        <x:v>Priya Iyer</x:v>
      </x:c>
      <x:c r="C65" s="16" t="str">
        <x:f>Raw_HR_Data!C63</x:f>
        <x:v>Risk Advisory</x:v>
      </x:c>
      <x:c r="D65" s="17" t="str">
        <x:f>IF(COUNTIF(Raw_HR_Data!$A$2:$A$221,A65)&gt;1,"Duplicate","OK")</x:f>
        <x:v>OK</x:v>
      </x:c>
      <x:c r="E65" s="17" t="str">
        <x:f>IF(B65="","Missing Name","OK")</x:f>
        <x:v>OK</x:v>
      </x:c>
      <x:c r="F65" s="17" t="str">
        <x:f>IF(Raw_HR_Data!F63="","Missing Salary","OK")</x:f>
        <x:v>OK</x:v>
      </x:c>
      <x:c r="G65" s="17" t="str">
        <x:f>IF(AND(Raw_HR_Data!F63&lt;&gt;"",NOT(ISNUMBER(Raw_HR_Data!F63))),"Invalid Salary Type","OK")</x:f>
        <x:v>OK</x:v>
      </x:c>
      <x:c r="H65" s="17" t="str">
        <x:f>IF(Raw_HR_Data!I63&lt;0,"Invalid Deduction","OK")</x:f>
        <x:v>OK</x:v>
      </x:c>
      <x:c r="I65" s="17" t="str">
        <x:f>IF(OR(NOT(ISNUMBER(Raw_HR_Data!F63)),NOT(ISNUMBER(Raw_HR_Data!G63)),NOT(ISNUMBER(Raw_HR_Data!H63)),NOT(ISNUMBER(Raw_HR_Data!I63))),"Check Source Data",IF(Raw_HR_Data!J63=Raw_HR_Data!F63+Raw_HR_Data!G63+Raw_HR_Data!H63-Raw_HR_Data!I63,"OK","Net Pay Error"))</x:f>
        <x:v>OK</x:v>
      </x:c>
      <x:c r="J65" s="17" t="str">
        <x:f>IF(Raw_HR_Data!K63="","Missing Bank Status","OK")</x:f>
        <x:v>OK</x:v>
      </x:c>
      <x:c r="K65" s="17" t="str">
        <x:f>IF(Raw_HR_Data!L63="","Missing PAN","OK")</x:f>
        <x:v>OK</x:v>
      </x:c>
      <x:c r="L65" s="17" t="str">
        <x:f>IF(Raw_HR_Data!M63&gt;31,"Invalid Attendance","OK")</x:f>
        <x:v>OK</x:v>
      </x:c>
      <x:c r="M65" s="17" t="str">
        <x:f>IF(OR(Raw_HR_Data!N63&gt;10,Raw_HR_Data!N63&gt;Raw_HR_Data!M63),"Invalid Leave","OK")</x:f>
        <x:v>OK</x:v>
      </x:c>
      <x:c r="N65" s="17" t="str">
        <x:f>IF(OR(Raw_HR_Data!O63="Processed",Raw_HR_Data!O63="Pending",Raw_HR_Data!O63="Hold"),"OK","Invalid Payroll Status")</x:f>
        <x:v>OK</x:v>
      </x:c>
      <x:c r="O65" s="17">
        <x:f>COUNTIF(D65:N65,"&lt;&gt;OK")-COUNTIF(I65,"Check Source Data")+IF(I65="Check Source Data",1,0)</x:f>
        <x:v>0</x:v>
      </x:c>
      <x:c r="P65" s="17" t="str">
        <x:f>IF(O65=0,"Clean","Error Found")</x:f>
        <x:v>Clean</x:v>
      </x:c>
      <x:c r="Q65" s="18" t="str">
        <x:f>IF(P65="Clean","No action needed","Review raw record and update Validated_Data")</x:f>
        <x:v>No action needed</x:v>
      </x:c>
    </x:row>
    <x:row r="66">
      <x:c r="A66" s="15" t="str">
        <x:f>Raw_HR_Data!A64</x:f>
        <x:v>EMP87356</x:v>
      </x:c>
      <x:c r="B66" s="16" t="str">
        <x:f>Raw_HR_Data!B64</x:f>
        <x:v>Noah Thompson</x:v>
      </x:c>
      <x:c r="C66" s="16" t="str">
        <x:f>Raw_HR_Data!C64</x:f>
        <x:v>HR Shared Services</x:v>
      </x:c>
      <x:c r="D66" s="17" t="str">
        <x:f>IF(COUNTIF(Raw_HR_Data!$A$2:$A$221,A66)&gt;1,"Duplicate","OK")</x:f>
        <x:v>OK</x:v>
      </x:c>
      <x:c r="E66" s="17" t="str">
        <x:f>IF(B66="","Missing Name","OK")</x:f>
        <x:v>OK</x:v>
      </x:c>
      <x:c r="F66" s="17" t="str">
        <x:f>IF(Raw_HR_Data!F64="","Missing Salary","OK")</x:f>
        <x:v>OK</x:v>
      </x:c>
      <x:c r="G66" s="17" t="str">
        <x:f>IF(AND(Raw_HR_Data!F64&lt;&gt;"",NOT(ISNUMBER(Raw_HR_Data!F64))),"Invalid Salary Type","OK")</x:f>
        <x:v>OK</x:v>
      </x:c>
      <x:c r="H66" s="17" t="str">
        <x:f>IF(Raw_HR_Data!I64&lt;0,"Invalid Deduction","OK")</x:f>
        <x:v>OK</x:v>
      </x:c>
      <x:c r="I66" s="17" t="str">
        <x:f>IF(OR(NOT(ISNUMBER(Raw_HR_Data!F64)),NOT(ISNUMBER(Raw_HR_Data!G64)),NOT(ISNUMBER(Raw_HR_Data!H64)),NOT(ISNUMBER(Raw_HR_Data!I64))),"Check Source Data",IF(Raw_HR_Data!J64=Raw_HR_Data!F64+Raw_HR_Data!G64+Raw_HR_Data!H64-Raw_HR_Data!I64,"OK","Net Pay Error"))</x:f>
        <x:v>OK</x:v>
      </x:c>
      <x:c r="J66" s="17" t="str">
        <x:f>IF(Raw_HR_Data!K64="","Missing Bank Status","OK")</x:f>
        <x:v>OK</x:v>
      </x:c>
      <x:c r="K66" s="17" t="str">
        <x:f>IF(Raw_HR_Data!L64="","Missing PAN","OK")</x:f>
        <x:v>OK</x:v>
      </x:c>
      <x:c r="L66" s="17" t="str">
        <x:f>IF(Raw_HR_Data!M64&gt;31,"Invalid Attendance","OK")</x:f>
        <x:v>OK</x:v>
      </x:c>
      <x:c r="M66" s="17" t="str">
        <x:f>IF(OR(Raw_HR_Data!N64&gt;10,Raw_HR_Data!N64&gt;Raw_HR_Data!M64),"Invalid Leave","OK")</x:f>
        <x:v>OK</x:v>
      </x:c>
      <x:c r="N66" s="17" t="str">
        <x:f>IF(OR(Raw_HR_Data!O64="Processed",Raw_HR_Data!O64="Pending",Raw_HR_Data!O64="Hold"),"OK","Invalid Payroll Status")</x:f>
        <x:v>OK</x:v>
      </x:c>
      <x:c r="O66" s="17">
        <x:f>COUNTIF(D66:N66,"&lt;&gt;OK")-COUNTIF(I66,"Check Source Data")+IF(I66="Check Source Data",1,0)</x:f>
        <x:v>0</x:v>
      </x:c>
      <x:c r="P66" s="17" t="str">
        <x:f>IF(O66=0,"Clean","Error Found")</x:f>
        <x:v>Clean</x:v>
      </x:c>
      <x:c r="Q66" s="18" t="str">
        <x:f>IF(P66="Clean","No action needed","Review raw record and update Validated_Data")</x:f>
        <x:v>No action needed</x:v>
      </x:c>
    </x:row>
    <x:row r="67">
      <x:c r="A67" s="15" t="str">
        <x:f>Raw_HR_Data!A65</x:f>
        <x:v>EMP44737</x:v>
      </x:c>
      <x:c r="B67" s="16" t="str">
        <x:f>Raw_HR_Data!B65</x:f>
        <x:v>Noah Pillai</x:v>
      </x:c>
      <x:c r="C67" s="16" t="str">
        <x:f>Raw_HR_Data!C65</x:f>
        <x:v>Risk Advisory</x:v>
      </x:c>
      <x:c r="D67" s="17" t="str">
        <x:f>IF(COUNTIF(Raw_HR_Data!$A$2:$A$221,A67)&gt;1,"Duplicate","OK")</x:f>
        <x:v>OK</x:v>
      </x:c>
      <x:c r="E67" s="17" t="str">
        <x:f>IF(B67="","Missing Name","OK")</x:f>
        <x:v>OK</x:v>
      </x:c>
      <x:c r="F67" s="17" t="str">
        <x:f>IF(Raw_HR_Data!F65="","Missing Salary","OK")</x:f>
        <x:v>OK</x:v>
      </x:c>
      <x:c r="G67" s="17" t="str">
        <x:f>IF(AND(Raw_HR_Data!F65&lt;&gt;"",NOT(ISNUMBER(Raw_HR_Data!F65))),"Invalid Salary Type","OK")</x:f>
        <x:v>OK</x:v>
      </x:c>
      <x:c r="H67" s="17" t="str">
        <x:f>IF(Raw_HR_Data!I65&lt;0,"Invalid Deduction","OK")</x:f>
        <x:v>OK</x:v>
      </x:c>
      <x:c r="I67" s="17" t="str">
        <x:f>IF(OR(NOT(ISNUMBER(Raw_HR_Data!F65)),NOT(ISNUMBER(Raw_HR_Data!G65)),NOT(ISNUMBER(Raw_HR_Data!H65)),NOT(ISNUMBER(Raw_HR_Data!I65))),"Check Source Data",IF(Raw_HR_Data!J65=Raw_HR_Data!F65+Raw_HR_Data!G65+Raw_HR_Data!H65-Raw_HR_Data!I65,"OK","Net Pay Error"))</x:f>
        <x:v>OK</x:v>
      </x:c>
      <x:c r="J67" s="17" t="str">
        <x:f>IF(Raw_HR_Data!K65="","Missing Bank Status","OK")</x:f>
        <x:v>OK</x:v>
      </x:c>
      <x:c r="K67" s="17" t="str">
        <x:f>IF(Raw_HR_Data!L65="","Missing PAN","OK")</x:f>
        <x:v>OK</x:v>
      </x:c>
      <x:c r="L67" s="17" t="str">
        <x:f>IF(Raw_HR_Data!M65&gt;31,"Invalid Attendance","OK")</x:f>
        <x:v>OK</x:v>
      </x:c>
      <x:c r="M67" s="17" t="str">
        <x:f>IF(OR(Raw_HR_Data!N65&gt;10,Raw_HR_Data!N65&gt;Raw_HR_Data!M65),"Invalid Leave","OK")</x:f>
        <x:v>OK</x:v>
      </x:c>
      <x:c r="N67" s="17" t="str">
        <x:f>IF(OR(Raw_HR_Data!O65="Processed",Raw_HR_Data!O65="Pending",Raw_HR_Data!O65="Hold"),"OK","Invalid Payroll Status")</x:f>
        <x:v>OK</x:v>
      </x:c>
      <x:c r="O67" s="17">
        <x:f>COUNTIF(D67:N67,"&lt;&gt;OK")-COUNTIF(I67,"Check Source Data")+IF(I67="Check Source Data",1,0)</x:f>
        <x:v>0</x:v>
      </x:c>
      <x:c r="P67" s="17" t="str">
        <x:f>IF(O67=0,"Clean","Error Found")</x:f>
        <x:v>Clean</x:v>
      </x:c>
      <x:c r="Q67" s="18" t="str">
        <x:f>IF(P67="Clean","No action needed","Review raw record and update Validated_Data")</x:f>
        <x:v>No action needed</x:v>
      </x:c>
    </x:row>
    <x:row r="68">
      <x:c r="A68" s="15" t="str">
        <x:f>Raw_HR_Data!A66</x:f>
        <x:v>EMP40771</x:v>
      </x:c>
      <x:c r="B68" s="16" t="str">
        <x:f>Raw_HR_Data!B66</x:f>
        <x:v>Lucas Iyer</x:v>
      </x:c>
      <x:c r="C68" s="16" t="str">
        <x:f>Raw_HR_Data!C66</x:f>
        <x:v>HR Shared Services</x:v>
      </x:c>
      <x:c r="D68" s="17" t="str">
        <x:f>IF(COUNTIF(Raw_HR_Data!$A$2:$A$221,A68)&gt;1,"Duplicate","OK")</x:f>
        <x:v>OK</x:v>
      </x:c>
      <x:c r="E68" s="17" t="str">
        <x:f>IF(B68="","Missing Name","OK")</x:f>
        <x:v>OK</x:v>
      </x:c>
      <x:c r="F68" s="17" t="str">
        <x:f>IF(Raw_HR_Data!F66="","Missing Salary","OK")</x:f>
        <x:v>OK</x:v>
      </x:c>
      <x:c r="G68" s="17" t="str">
        <x:f>IF(AND(Raw_HR_Data!F66&lt;&gt;"",NOT(ISNUMBER(Raw_HR_Data!F66))),"Invalid Salary Type","OK")</x:f>
        <x:v>OK</x:v>
      </x:c>
      <x:c r="H68" s="17" t="str">
        <x:f>IF(Raw_HR_Data!I66&lt;0,"Invalid Deduction","OK")</x:f>
        <x:v>Invalid Deduction</x:v>
      </x:c>
      <x:c r="I68" s="17" t="str">
        <x:f>IF(OR(NOT(ISNUMBER(Raw_HR_Data!F66)),NOT(ISNUMBER(Raw_HR_Data!G66)),NOT(ISNUMBER(Raw_HR_Data!H66)),NOT(ISNUMBER(Raw_HR_Data!I66))),"Check Source Data",IF(Raw_HR_Data!J66=Raw_HR_Data!F66+Raw_HR_Data!G66+Raw_HR_Data!H66-Raw_HR_Data!I66,"OK","Net Pay Error"))</x:f>
        <x:v>OK</x:v>
      </x:c>
      <x:c r="J68" s="17" t="str">
        <x:f>IF(Raw_HR_Data!K66="","Missing Bank Status","OK")</x:f>
        <x:v>OK</x:v>
      </x:c>
      <x:c r="K68" s="17" t="str">
        <x:f>IF(Raw_HR_Data!L66="","Missing PAN","OK")</x:f>
        <x:v>OK</x:v>
      </x:c>
      <x:c r="L68" s="17" t="str">
        <x:f>IF(Raw_HR_Data!M66&gt;31,"Invalid Attendance","OK")</x:f>
        <x:v>OK</x:v>
      </x:c>
      <x:c r="M68" s="17" t="str">
        <x:f>IF(OR(Raw_HR_Data!N66&gt;10,Raw_HR_Data!N66&gt;Raw_HR_Data!M66),"Invalid Leave","OK")</x:f>
        <x:v>OK</x:v>
      </x:c>
      <x:c r="N68" s="17" t="str">
        <x:f>IF(OR(Raw_HR_Data!O66="Processed",Raw_HR_Data!O66="Pending",Raw_HR_Data!O66="Hold"),"OK","Invalid Payroll Status")</x:f>
        <x:v>OK</x:v>
      </x:c>
      <x:c r="O68" s="17">
        <x:f>COUNTIF(D68:N68,"&lt;&gt;OK")-COUNTIF(I68,"Check Source Data")+IF(I68="Check Source Data",1,0)</x:f>
        <x:v>1</x:v>
      </x:c>
      <x:c r="P68" s="17" t="str">
        <x:f>IF(O68=0,"Clean","Error Found")</x:f>
        <x:v>Error Found</x:v>
      </x:c>
      <x:c r="Q68" s="18" t="str">
        <x:f>IF(P68="Clean","No action needed","Review raw record and update Validated_Data")</x:f>
        <x:v>Review raw record and update Validated_Data</x:v>
      </x:c>
    </x:row>
    <x:row r="69">
      <x:c r="A69" s="15" t="str">
        <x:f>Raw_HR_Data!A67</x:f>
        <x:v>EMP50730</x:v>
      </x:c>
      <x:c r="B69" s="16" t="str">
        <x:f>Raw_HR_Data!B67</x:f>
        <x:v>Oliver Kumar</x:v>
      </x:c>
      <x:c r="C69" s="16" t="str">
        <x:f>Raw_HR_Data!C67</x:f>
        <x:v>Risk Advisory</x:v>
      </x:c>
      <x:c r="D69" s="17" t="str">
        <x:f>IF(COUNTIF(Raw_HR_Data!$A$2:$A$221,A69)&gt;1,"Duplicate","OK")</x:f>
        <x:v>Duplicate</x:v>
      </x:c>
      <x:c r="E69" s="17" t="str">
        <x:f>IF(B69="","Missing Name","OK")</x:f>
        <x:v>OK</x:v>
      </x:c>
      <x:c r="F69" s="17" t="str">
        <x:f>IF(Raw_HR_Data!F67="","Missing Salary","OK")</x:f>
        <x:v>OK</x:v>
      </x:c>
      <x:c r="G69" s="17" t="str">
        <x:f>IF(AND(Raw_HR_Data!F67&lt;&gt;"",NOT(ISNUMBER(Raw_HR_Data!F67))),"Invalid Salary Type","OK")</x:f>
        <x:v>OK</x:v>
      </x:c>
      <x:c r="H69" s="17" t="str">
        <x:f>IF(Raw_HR_Data!I67&lt;0,"Invalid Deduction","OK")</x:f>
        <x:v>OK</x:v>
      </x:c>
      <x:c r="I69" s="17" t="str">
        <x:f>IF(OR(NOT(ISNUMBER(Raw_HR_Data!F67)),NOT(ISNUMBER(Raw_HR_Data!G67)),NOT(ISNUMBER(Raw_HR_Data!H67)),NOT(ISNUMBER(Raw_HR_Data!I67))),"Check Source Data",IF(Raw_HR_Data!J67=Raw_HR_Data!F67+Raw_HR_Data!G67+Raw_HR_Data!H67-Raw_HR_Data!I67,"OK","Net Pay Error"))</x:f>
        <x:v>OK</x:v>
      </x:c>
      <x:c r="J69" s="17" t="str">
        <x:f>IF(Raw_HR_Data!K67="","Missing Bank Status","OK")</x:f>
        <x:v>OK</x:v>
      </x:c>
      <x:c r="K69" s="17" t="str">
        <x:f>IF(Raw_HR_Data!L67="","Missing PAN","OK")</x:f>
        <x:v>OK</x:v>
      </x:c>
      <x:c r="L69" s="17" t="str">
        <x:f>IF(Raw_HR_Data!M67&gt;31,"Invalid Attendance","OK")</x:f>
        <x:v>OK</x:v>
      </x:c>
      <x:c r="M69" s="17" t="str">
        <x:f>IF(OR(Raw_HR_Data!N67&gt;10,Raw_HR_Data!N67&gt;Raw_HR_Data!M67),"Invalid Leave","OK")</x:f>
        <x:v>OK</x:v>
      </x:c>
      <x:c r="N69" s="17" t="str">
        <x:f>IF(OR(Raw_HR_Data!O67="Processed",Raw_HR_Data!O67="Pending",Raw_HR_Data!O67="Hold"),"OK","Invalid Payroll Status")</x:f>
        <x:v>OK</x:v>
      </x:c>
      <x:c r="O69" s="17">
        <x:f>COUNTIF(D69:N69,"&lt;&gt;OK")-COUNTIF(I69,"Check Source Data")+IF(I69="Check Source Data",1,0)</x:f>
        <x:v>1</x:v>
      </x:c>
      <x:c r="P69" s="17" t="str">
        <x:f>IF(O69=0,"Clean","Error Found")</x:f>
        <x:v>Error Found</x:v>
      </x:c>
      <x:c r="Q69" s="18" t="str">
        <x:f>IF(P69="Clean","No action needed","Review raw record and update Validated_Data")</x:f>
        <x:v>Review raw record and update Validated_Data</x:v>
      </x:c>
    </x:row>
    <x:row r="70">
      <x:c r="A70" s="15" t="str">
        <x:f>Raw_HR_Data!A68</x:f>
        <x:v>EMP41566</x:v>
      </x:c>
      <x:c r="B70" s="16" t="str">
        <x:f>Raw_HR_Data!B68</x:f>
        <x:v>Charlotte White</x:v>
      </x:c>
      <x:c r="C70" s="16" t="str">
        <x:f>Raw_HR_Data!C68</x:f>
        <x:v>Consulting Ops</x:v>
      </x:c>
      <x:c r="D70" s="17" t="str">
        <x:f>IF(COUNTIF(Raw_HR_Data!$A$2:$A$221,A70)&gt;1,"Duplicate","OK")</x:f>
        <x:v>OK</x:v>
      </x:c>
      <x:c r="E70" s="17" t="str">
        <x:f>IF(B70="","Missing Name","OK")</x:f>
        <x:v>OK</x:v>
      </x:c>
      <x:c r="F70" s="17" t="str">
        <x:f>IF(Raw_HR_Data!F68="","Missing Salary","OK")</x:f>
        <x:v>OK</x:v>
      </x:c>
      <x:c r="G70" s="17" t="str">
        <x:f>IF(AND(Raw_HR_Data!F68&lt;&gt;"",NOT(ISNUMBER(Raw_HR_Data!F68))),"Invalid Salary Type","OK")</x:f>
        <x:v>OK</x:v>
      </x:c>
      <x:c r="H70" s="17" t="str">
        <x:f>IF(Raw_HR_Data!I68&lt;0,"Invalid Deduction","OK")</x:f>
        <x:v>Invalid Deduction</x:v>
      </x:c>
      <x:c r="I70" s="17" t="str">
        <x:f>IF(OR(NOT(ISNUMBER(Raw_HR_Data!F68)),NOT(ISNUMBER(Raw_HR_Data!G68)),NOT(ISNUMBER(Raw_HR_Data!H68)),NOT(ISNUMBER(Raw_HR_Data!I68))),"Check Source Data",IF(Raw_HR_Data!J68=Raw_HR_Data!F68+Raw_HR_Data!G68+Raw_HR_Data!H68-Raw_HR_Data!I68,"OK","Net Pay Error"))</x:f>
        <x:v>OK</x:v>
      </x:c>
      <x:c r="J70" s="17" t="str">
        <x:f>IF(Raw_HR_Data!K68="","Missing Bank Status","OK")</x:f>
        <x:v>OK</x:v>
      </x:c>
      <x:c r="K70" s="17" t="str">
        <x:f>IF(Raw_HR_Data!L68="","Missing PAN","OK")</x:f>
        <x:v>OK</x:v>
      </x:c>
      <x:c r="L70" s="17" t="str">
        <x:f>IF(Raw_HR_Data!M68&gt;31,"Invalid Attendance","OK")</x:f>
        <x:v>OK</x:v>
      </x:c>
      <x:c r="M70" s="17" t="str">
        <x:f>IF(OR(Raw_HR_Data!N68&gt;10,Raw_HR_Data!N68&gt;Raw_HR_Data!M68),"Invalid Leave","OK")</x:f>
        <x:v>OK</x:v>
      </x:c>
      <x:c r="N70" s="17" t="str">
        <x:f>IF(OR(Raw_HR_Data!O68="Processed",Raw_HR_Data!O68="Pending",Raw_HR_Data!O68="Hold"),"OK","Invalid Payroll Status")</x:f>
        <x:v>OK</x:v>
      </x:c>
      <x:c r="O70" s="17">
        <x:f>COUNTIF(D70:N70,"&lt;&gt;OK")-COUNTIF(I70,"Check Source Data")+IF(I70="Check Source Data",1,0)</x:f>
        <x:v>1</x:v>
      </x:c>
      <x:c r="P70" s="17" t="str">
        <x:f>IF(O70=0,"Clean","Error Found")</x:f>
        <x:v>Error Found</x:v>
      </x:c>
      <x:c r="Q70" s="18" t="str">
        <x:f>IF(P70="Clean","No action needed","Review raw record and update Validated_Data")</x:f>
        <x:v>Review raw record and update Validated_Data</x:v>
      </x:c>
    </x:row>
    <x:row r="71">
      <x:c r="A71" s="15" t="str">
        <x:f>Raw_HR_Data!A69</x:f>
        <x:v>EMP67898</x:v>
      </x:c>
      <x:c r="B71" s="16" t="str">
        <x:f>Raw_HR_Data!B69</x:f>
        <x:v>Oliver Patel</x:v>
      </x:c>
      <x:c r="C71" s="16" t="str">
        <x:f>Raw_HR_Data!C69</x:f>
        <x:v>Talent Ops</x:v>
      </x:c>
      <x:c r="D71" s="17" t="str">
        <x:f>IF(COUNTIF(Raw_HR_Data!$A$2:$A$221,A71)&gt;1,"Duplicate","OK")</x:f>
        <x:v>OK</x:v>
      </x:c>
      <x:c r="E71" s="17" t="str">
        <x:f>IF(B71="","Missing Name","OK")</x:f>
        <x:v>OK</x:v>
      </x:c>
      <x:c r="F71" s="17" t="str">
        <x:f>IF(Raw_HR_Data!F69="","Missing Salary","OK")</x:f>
        <x:v>OK</x:v>
      </x:c>
      <x:c r="G71" s="17" t="str">
        <x:f>IF(AND(Raw_HR_Data!F69&lt;&gt;"",NOT(ISNUMBER(Raw_HR_Data!F69))),"Invalid Salary Type","OK")</x:f>
        <x:v>OK</x:v>
      </x:c>
      <x:c r="H71" s="17" t="str">
        <x:f>IF(Raw_HR_Data!I69&lt;0,"Invalid Deduction","OK")</x:f>
        <x:v>OK</x:v>
      </x:c>
      <x:c r="I71" s="17" t="str">
        <x:f>IF(OR(NOT(ISNUMBER(Raw_HR_Data!F69)),NOT(ISNUMBER(Raw_HR_Data!G69)),NOT(ISNUMBER(Raw_HR_Data!H69)),NOT(ISNUMBER(Raw_HR_Data!I69))),"Check Source Data",IF(Raw_HR_Data!J69=Raw_HR_Data!F69+Raw_HR_Data!G69+Raw_HR_Data!H69-Raw_HR_Data!I69,"OK","Net Pay Error"))</x:f>
        <x:v>OK</x:v>
      </x:c>
      <x:c r="J71" s="17" t="str">
        <x:f>IF(Raw_HR_Data!K69="","Missing Bank Status","OK")</x:f>
        <x:v>OK</x:v>
      </x:c>
      <x:c r="K71" s="17" t="str">
        <x:f>IF(Raw_HR_Data!L69="","Missing PAN","OK")</x:f>
        <x:v>OK</x:v>
      </x:c>
      <x:c r="L71" s="17" t="str">
        <x:f>IF(Raw_HR_Data!M69&gt;31,"Invalid Attendance","OK")</x:f>
        <x:v>OK</x:v>
      </x:c>
      <x:c r="M71" s="17" t="str">
        <x:f>IF(OR(Raw_HR_Data!N69&gt;10,Raw_HR_Data!N69&gt;Raw_HR_Data!M69),"Invalid Leave","OK")</x:f>
        <x:v>OK</x:v>
      </x:c>
      <x:c r="N71" s="17" t="str">
        <x:f>IF(OR(Raw_HR_Data!O69="Processed",Raw_HR_Data!O69="Pending",Raw_HR_Data!O69="Hold"),"OK","Invalid Payroll Status")</x:f>
        <x:v>OK</x:v>
      </x:c>
      <x:c r="O71" s="17">
        <x:f>COUNTIF(D71:N71,"&lt;&gt;OK")-COUNTIF(I71,"Check Source Data")+IF(I71="Check Source Data",1,0)</x:f>
        <x:v>0</x:v>
      </x:c>
      <x:c r="P71" s="17" t="str">
        <x:f>IF(O71=0,"Clean","Error Found")</x:f>
        <x:v>Clean</x:v>
      </x:c>
      <x:c r="Q71" s="18" t="str">
        <x:f>IF(P71="Clean","No action needed","Review raw record and update Validated_Data")</x:f>
        <x:v>No action needed</x:v>
      </x:c>
    </x:row>
    <x:row r="72">
      <x:c r="A72" s="15" t="str">
        <x:f>Raw_HR_Data!A70</x:f>
        <x:v>EMP85341</x:v>
      </x:c>
      <x:c r="B72" s="16" t="str">
        <x:f>Raw_HR_Data!B70</x:f>
        <x:v>Lucas Shah</x:v>
      </x:c>
      <x:c r="C72" s="16" t="str">
        <x:f>Raw_HR_Data!C70</x:f>
        <x:v>Talent Ops</x:v>
      </x:c>
      <x:c r="D72" s="17" t="str">
        <x:f>IF(COUNTIF(Raw_HR_Data!$A$2:$A$221,A72)&gt;1,"Duplicate","OK")</x:f>
        <x:v>OK</x:v>
      </x:c>
      <x:c r="E72" s="17" t="str">
        <x:f>IF(B72="","Missing Name","OK")</x:f>
        <x:v>OK</x:v>
      </x:c>
      <x:c r="F72" s="17" t="str">
        <x:f>IF(Raw_HR_Data!F70="","Missing Salary","OK")</x:f>
        <x:v>OK</x:v>
      </x:c>
      <x:c r="G72" s="17" t="str">
        <x:f>IF(AND(Raw_HR_Data!F70&lt;&gt;"",NOT(ISNUMBER(Raw_HR_Data!F70))),"Invalid Salary Type","OK")</x:f>
        <x:v>OK</x:v>
      </x:c>
      <x:c r="H72" s="17" t="str">
        <x:f>IF(Raw_HR_Data!I70&lt;0,"Invalid Deduction","OK")</x:f>
        <x:v>OK</x:v>
      </x:c>
      <x:c r="I72" s="17" t="str">
        <x:f>IF(OR(NOT(ISNUMBER(Raw_HR_Data!F70)),NOT(ISNUMBER(Raw_HR_Data!G70)),NOT(ISNUMBER(Raw_HR_Data!H70)),NOT(ISNUMBER(Raw_HR_Data!I70))),"Check Source Data",IF(Raw_HR_Data!J70=Raw_HR_Data!F70+Raw_HR_Data!G70+Raw_HR_Data!H70-Raw_HR_Data!I70,"OK","Net Pay Error"))</x:f>
        <x:v>OK</x:v>
      </x:c>
      <x:c r="J72" s="17" t="str">
        <x:f>IF(Raw_HR_Data!K70="","Missing Bank Status","OK")</x:f>
        <x:v>OK</x:v>
      </x:c>
      <x:c r="K72" s="17" t="str">
        <x:f>IF(Raw_HR_Data!L70="","Missing PAN","OK")</x:f>
        <x:v>OK</x:v>
      </x:c>
      <x:c r="L72" s="17" t="str">
        <x:f>IF(Raw_HR_Data!M70&gt;31,"Invalid Attendance","OK")</x:f>
        <x:v>OK</x:v>
      </x:c>
      <x:c r="M72" s="17" t="str">
        <x:f>IF(OR(Raw_HR_Data!N70&gt;10,Raw_HR_Data!N70&gt;Raw_HR_Data!M70),"Invalid Leave","OK")</x:f>
        <x:v>OK</x:v>
      </x:c>
      <x:c r="N72" s="17" t="str">
        <x:f>IF(OR(Raw_HR_Data!O70="Processed",Raw_HR_Data!O70="Pending",Raw_HR_Data!O70="Hold"),"OK","Invalid Payroll Status")</x:f>
        <x:v>Invalid Payroll Status</x:v>
      </x:c>
      <x:c r="O72" s="17">
        <x:f>COUNTIF(D72:N72,"&lt;&gt;OK")-COUNTIF(I72,"Check Source Data")+IF(I72="Check Source Data",1,0)</x:f>
        <x:v>1</x:v>
      </x:c>
      <x:c r="P72" s="17" t="str">
        <x:f>IF(O72=0,"Clean","Error Found")</x:f>
        <x:v>Error Found</x:v>
      </x:c>
      <x:c r="Q72" s="18" t="str">
        <x:f>IF(P72="Clean","No action needed","Review raw record and update Validated_Data")</x:f>
        <x:v>Review raw record and update Validated_Data</x:v>
      </x:c>
    </x:row>
    <x:row r="73">
      <x:c r="A73" s="15" t="str">
        <x:f>Raw_HR_Data!A71</x:f>
        <x:v>EMP40162</x:v>
      </x:c>
      <x:c r="B73" s="16" t="str">
        <x:f>Raw_HR_Data!B71</x:f>
        <x:v>Oliver Iyer</x:v>
      </x:c>
      <x:c r="C73" s="16" t="str">
        <x:f>Raw_HR_Data!C71</x:f>
        <x:v>Benefits Team</x:v>
      </x:c>
      <x:c r="D73" s="17" t="str">
        <x:f>IF(COUNTIF(Raw_HR_Data!$A$2:$A$221,A73)&gt;1,"Duplicate","OK")</x:f>
        <x:v>OK</x:v>
      </x:c>
      <x:c r="E73" s="17" t="str">
        <x:f>IF(B73="","Missing Name","OK")</x:f>
        <x:v>OK</x:v>
      </x:c>
      <x:c r="F73" s="17" t="str">
        <x:f>IF(Raw_HR_Data!F71="","Missing Salary","OK")</x:f>
        <x:v>OK</x:v>
      </x:c>
      <x:c r="G73" s="17" t="str">
        <x:f>IF(AND(Raw_HR_Data!F71&lt;&gt;"",NOT(ISNUMBER(Raw_HR_Data!F71))),"Invalid Salary Type","OK")</x:f>
        <x:v>OK</x:v>
      </x:c>
      <x:c r="H73" s="17" t="str">
        <x:f>IF(Raw_HR_Data!I71&lt;0,"Invalid Deduction","OK")</x:f>
        <x:v>OK</x:v>
      </x:c>
      <x:c r="I73" s="17" t="str">
        <x:f>IF(OR(NOT(ISNUMBER(Raw_HR_Data!F71)),NOT(ISNUMBER(Raw_HR_Data!G71)),NOT(ISNUMBER(Raw_HR_Data!H71)),NOT(ISNUMBER(Raw_HR_Data!I71))),"Check Source Data",IF(Raw_HR_Data!J71=Raw_HR_Data!F71+Raw_HR_Data!G71+Raw_HR_Data!H71-Raw_HR_Data!I71,"OK","Net Pay Error"))</x:f>
        <x:v>OK</x:v>
      </x:c>
      <x:c r="J73" s="17" t="str">
        <x:f>IF(Raw_HR_Data!K71="","Missing Bank Status","OK")</x:f>
        <x:v>OK</x:v>
      </x:c>
      <x:c r="K73" s="17" t="str">
        <x:f>IF(Raw_HR_Data!L71="","Missing PAN","OK")</x:f>
        <x:v>OK</x:v>
      </x:c>
      <x:c r="L73" s="17" t="str">
        <x:f>IF(Raw_HR_Data!M71&gt;31,"Invalid Attendance","OK")</x:f>
        <x:v>OK</x:v>
      </x:c>
      <x:c r="M73" s="17" t="str">
        <x:f>IF(OR(Raw_HR_Data!N71&gt;10,Raw_HR_Data!N71&gt;Raw_HR_Data!M71),"Invalid Leave","OK")</x:f>
        <x:v>OK</x:v>
      </x:c>
      <x:c r="N73" s="17" t="str">
        <x:f>IF(OR(Raw_HR_Data!O71="Processed",Raw_HR_Data!O71="Pending",Raw_HR_Data!O71="Hold"),"OK","Invalid Payroll Status")</x:f>
        <x:v>OK</x:v>
      </x:c>
      <x:c r="O73" s="17">
        <x:f>COUNTIF(D73:N73,"&lt;&gt;OK")-COUNTIF(I73,"Check Source Data")+IF(I73="Check Source Data",1,0)</x:f>
        <x:v>0</x:v>
      </x:c>
      <x:c r="P73" s="17" t="str">
        <x:f>IF(O73=0,"Clean","Error Found")</x:f>
        <x:v>Clean</x:v>
      </x:c>
      <x:c r="Q73" s="18" t="str">
        <x:f>IF(P73="Clean","No action needed","Review raw record and update Validated_Data")</x:f>
        <x:v>No action needed</x:v>
      </x:c>
    </x:row>
    <x:row r="74">
      <x:c r="A74" s="15" t="str">
        <x:f>Raw_HR_Data!A72</x:f>
        <x:v>EMP21813</x:v>
      </x:c>
      <x:c r="B74" s="16" t="str">
        <x:f>Raw_HR_Data!B72</x:f>
        <x:v>Lucas Khan</x:v>
      </x:c>
      <x:c r="C74" s="16" t="str">
        <x:f>Raw_HR_Data!C72</x:f>
        <x:v>Risk Advisory</x:v>
      </x:c>
      <x:c r="D74" s="17" t="str">
        <x:f>IF(COUNTIF(Raw_HR_Data!$A$2:$A$221,A74)&gt;1,"Duplicate","OK")</x:f>
        <x:v>OK</x:v>
      </x:c>
      <x:c r="E74" s="17" t="str">
        <x:f>IF(B74="","Missing Name","OK")</x:f>
        <x:v>OK</x:v>
      </x:c>
      <x:c r="F74" s="17" t="str">
        <x:f>IF(Raw_HR_Data!F72="","Missing Salary","OK")</x:f>
        <x:v>OK</x:v>
      </x:c>
      <x:c r="G74" s="17" t="str">
        <x:f>IF(AND(Raw_HR_Data!F72&lt;&gt;"",NOT(ISNUMBER(Raw_HR_Data!F72))),"Invalid Salary Type","OK")</x:f>
        <x:v>OK</x:v>
      </x:c>
      <x:c r="H74" s="17" t="str">
        <x:f>IF(Raw_HR_Data!I72&lt;0,"Invalid Deduction","OK")</x:f>
        <x:v>OK</x:v>
      </x:c>
      <x:c r="I74" s="17" t="str">
        <x:f>IF(OR(NOT(ISNUMBER(Raw_HR_Data!F72)),NOT(ISNUMBER(Raw_HR_Data!G72)),NOT(ISNUMBER(Raw_HR_Data!H72)),NOT(ISNUMBER(Raw_HR_Data!I72))),"Check Source Data",IF(Raw_HR_Data!J72=Raw_HR_Data!F72+Raw_HR_Data!G72+Raw_HR_Data!H72-Raw_HR_Data!I72,"OK","Net Pay Error"))</x:f>
        <x:v>OK</x:v>
      </x:c>
      <x:c r="J74" s="17" t="str">
        <x:f>IF(Raw_HR_Data!K72="","Missing Bank Status","OK")</x:f>
        <x:v>OK</x:v>
      </x:c>
      <x:c r="K74" s="17" t="str">
        <x:f>IF(Raw_HR_Data!L72="","Missing PAN","OK")</x:f>
        <x:v>OK</x:v>
      </x:c>
      <x:c r="L74" s="17" t="str">
        <x:f>IF(Raw_HR_Data!M72&gt;31,"Invalid Attendance","OK")</x:f>
        <x:v>OK</x:v>
      </x:c>
      <x:c r="M74" s="17" t="str">
        <x:f>IF(OR(Raw_HR_Data!N72&gt;10,Raw_HR_Data!N72&gt;Raw_HR_Data!M72),"Invalid Leave","OK")</x:f>
        <x:v>OK</x:v>
      </x:c>
      <x:c r="N74" s="17" t="str">
        <x:f>IF(OR(Raw_HR_Data!O72="Processed",Raw_HR_Data!O72="Pending",Raw_HR_Data!O72="Hold"),"OK","Invalid Payroll Status")</x:f>
        <x:v>OK</x:v>
      </x:c>
      <x:c r="O74" s="17">
        <x:f>COUNTIF(D74:N74,"&lt;&gt;OK")-COUNTIF(I74,"Check Source Data")+IF(I74="Check Source Data",1,0)</x:f>
        <x:v>0</x:v>
      </x:c>
      <x:c r="P74" s="17" t="str">
        <x:f>IF(O74=0,"Clean","Error Found")</x:f>
        <x:v>Clean</x:v>
      </x:c>
      <x:c r="Q74" s="18" t="str">
        <x:f>IF(P74="Clean","No action needed","Review raw record and update Validated_Data")</x:f>
        <x:v>No action needed</x:v>
      </x:c>
    </x:row>
    <x:row r="75">
      <x:c r="A75" s="15" t="str">
        <x:f>Raw_HR_Data!A73</x:f>
        <x:v>EMP48684</x:v>
      </x:c>
      <x:c r="B75" s="16">
        <x:f>Raw_HR_Data!B73</x:f>
        <x:v>0</x:v>
      </x:c>
      <x:c r="C75" s="16" t="str">
        <x:f>Raw_HR_Data!C73</x:f>
        <x:v>HR Shared Services</x:v>
      </x:c>
      <x:c r="D75" s="17" t="str">
        <x:f>IF(COUNTIF(Raw_HR_Data!$A$2:$A$221,A75)&gt;1,"Duplicate","OK")</x:f>
        <x:v>OK</x:v>
      </x:c>
      <x:c r="E75" s="17" t="str">
        <x:f>IF(B75="","Missing Name","OK")</x:f>
        <x:v>Missing Name</x:v>
      </x:c>
      <x:c r="F75" s="17" t="str">
        <x:f>IF(Raw_HR_Data!F73="","Missing Salary","OK")</x:f>
        <x:v>OK</x:v>
      </x:c>
      <x:c r="G75" s="17" t="str">
        <x:f>IF(AND(Raw_HR_Data!F73&lt;&gt;"",NOT(ISNUMBER(Raw_HR_Data!F73))),"Invalid Salary Type","OK")</x:f>
        <x:v>OK</x:v>
      </x:c>
      <x:c r="H75" s="17" t="str">
        <x:f>IF(Raw_HR_Data!I73&lt;0,"Invalid Deduction","OK")</x:f>
        <x:v>OK</x:v>
      </x:c>
      <x:c r="I75" s="17" t="str">
        <x:f>IF(OR(NOT(ISNUMBER(Raw_HR_Data!F73)),NOT(ISNUMBER(Raw_HR_Data!G73)),NOT(ISNUMBER(Raw_HR_Data!H73)),NOT(ISNUMBER(Raw_HR_Data!I73))),"Check Source Data",IF(Raw_HR_Data!J73=Raw_HR_Data!F73+Raw_HR_Data!G73+Raw_HR_Data!H73-Raw_HR_Data!I73,"OK","Net Pay Error"))</x:f>
        <x:v>OK</x:v>
      </x:c>
      <x:c r="J75" s="17" t="str">
        <x:f>IF(Raw_HR_Data!K73="","Missing Bank Status","OK")</x:f>
        <x:v>OK</x:v>
      </x:c>
      <x:c r="K75" s="17" t="str">
        <x:f>IF(Raw_HR_Data!L73="","Missing PAN","OK")</x:f>
        <x:v>OK</x:v>
      </x:c>
      <x:c r="L75" s="17" t="str">
        <x:f>IF(Raw_HR_Data!M73&gt;31,"Invalid Attendance","OK")</x:f>
        <x:v>OK</x:v>
      </x:c>
      <x:c r="M75" s="17" t="str">
        <x:f>IF(OR(Raw_HR_Data!N73&gt;10,Raw_HR_Data!N73&gt;Raw_HR_Data!M73),"Invalid Leave","OK")</x:f>
        <x:v>OK</x:v>
      </x:c>
      <x:c r="N75" s="17" t="str">
        <x:f>IF(OR(Raw_HR_Data!O73="Processed",Raw_HR_Data!O73="Pending",Raw_HR_Data!O73="Hold"),"OK","Invalid Payroll Status")</x:f>
        <x:v>OK</x:v>
      </x:c>
      <x:c r="O75" s="17">
        <x:f>COUNTIF(D75:N75,"&lt;&gt;OK")-COUNTIF(I75,"Check Source Data")+IF(I75="Check Source Data",1,0)</x:f>
        <x:v>1</x:v>
      </x:c>
      <x:c r="P75" s="17" t="str">
        <x:f>IF(O75=0,"Clean","Error Found")</x:f>
        <x:v>Error Found</x:v>
      </x:c>
      <x:c r="Q75" s="18" t="str">
        <x:f>IF(P75="Clean","No action needed","Review raw record and update Validated_Data")</x:f>
        <x:v>Review raw record and update Validated_Data</x:v>
      </x:c>
    </x:row>
    <x:row r="76">
      <x:c r="A76" s="15" t="str">
        <x:f>Raw_HR_Data!A74</x:f>
        <x:v>EMP80329</x:v>
      </x:c>
      <x:c r="B76" s="16" t="str">
        <x:f>Raw_HR_Data!B74</x:f>
        <x:v>Deepika Mehta</x:v>
      </x:c>
      <x:c r="C76" s="16" t="str">
        <x:f>Raw_HR_Data!C74</x:f>
        <x:v>IT Support</x:v>
      </x:c>
      <x:c r="D76" s="17" t="str">
        <x:f>IF(COUNTIF(Raw_HR_Data!$A$2:$A$221,A76)&gt;1,"Duplicate","OK")</x:f>
        <x:v>OK</x:v>
      </x:c>
      <x:c r="E76" s="17" t="str">
        <x:f>IF(B76="","Missing Name","OK")</x:f>
        <x:v>OK</x:v>
      </x:c>
      <x:c r="F76" s="17" t="str">
        <x:f>IF(Raw_HR_Data!F74="","Missing Salary","OK")</x:f>
        <x:v>OK</x:v>
      </x:c>
      <x:c r="G76" s="17" t="str">
        <x:f>IF(AND(Raw_HR_Data!F74&lt;&gt;"",NOT(ISNUMBER(Raw_HR_Data!F74))),"Invalid Salary Type","OK")</x:f>
        <x:v>OK</x:v>
      </x:c>
      <x:c r="H76" s="17" t="str">
        <x:f>IF(Raw_HR_Data!I74&lt;0,"Invalid Deduction","OK")</x:f>
        <x:v>OK</x:v>
      </x:c>
      <x:c r="I76" s="17" t="str">
        <x:f>IF(OR(NOT(ISNUMBER(Raw_HR_Data!F74)),NOT(ISNUMBER(Raw_HR_Data!G74)),NOT(ISNUMBER(Raw_HR_Data!H74)),NOT(ISNUMBER(Raw_HR_Data!I74))),"Check Source Data",IF(Raw_HR_Data!J74=Raw_HR_Data!F74+Raw_HR_Data!G74+Raw_HR_Data!H74-Raw_HR_Data!I74,"OK","Net Pay Error"))</x:f>
        <x:v>OK</x:v>
      </x:c>
      <x:c r="J76" s="17" t="str">
        <x:f>IF(Raw_HR_Data!K74="","Missing Bank Status","OK")</x:f>
        <x:v>Missing Bank Status</x:v>
      </x:c>
      <x:c r="K76" s="17" t="str">
        <x:f>IF(Raw_HR_Data!L74="","Missing PAN","OK")</x:f>
        <x:v>OK</x:v>
      </x:c>
      <x:c r="L76" s="17" t="str">
        <x:f>IF(Raw_HR_Data!M74&gt;31,"Invalid Attendance","OK")</x:f>
        <x:v>OK</x:v>
      </x:c>
      <x:c r="M76" s="17" t="str">
        <x:f>IF(OR(Raw_HR_Data!N74&gt;10,Raw_HR_Data!N74&gt;Raw_HR_Data!M74),"Invalid Leave","OK")</x:f>
        <x:v>OK</x:v>
      </x:c>
      <x:c r="N76" s="17" t="str">
        <x:f>IF(OR(Raw_HR_Data!O74="Processed",Raw_HR_Data!O74="Pending",Raw_HR_Data!O74="Hold"),"OK","Invalid Payroll Status")</x:f>
        <x:v>OK</x:v>
      </x:c>
      <x:c r="O76" s="17">
        <x:f>COUNTIF(D76:N76,"&lt;&gt;OK")-COUNTIF(I76,"Check Source Data")+IF(I76="Check Source Data",1,0)</x:f>
        <x:v>1</x:v>
      </x:c>
      <x:c r="P76" s="17" t="str">
        <x:f>IF(O76=0,"Clean","Error Found")</x:f>
        <x:v>Error Found</x:v>
      </x:c>
      <x:c r="Q76" s="18" t="str">
        <x:f>IF(P76="Clean","No action needed","Review raw record and update Validated_Data")</x:f>
        <x:v>Review raw record and update Validated_Data</x:v>
      </x:c>
    </x:row>
    <x:row r="77">
      <x:c r="A77" s="15" t="str">
        <x:f>Raw_HR_Data!A75</x:f>
        <x:v>EMP93283</x:v>
      </x:c>
      <x:c r="B77" s="16" t="str">
        <x:f>Raw_HR_Data!B75</x:f>
        <x:v>Vikram White</x:v>
      </x:c>
      <x:c r="C77" s="16" t="str">
        <x:f>Raw_HR_Data!C75</x:f>
        <x:v>Talent Ops</x:v>
      </x:c>
      <x:c r="D77" s="17" t="str">
        <x:f>IF(COUNTIF(Raw_HR_Data!$A$2:$A$221,A77)&gt;1,"Duplicate","OK")</x:f>
        <x:v>OK</x:v>
      </x:c>
      <x:c r="E77" s="17" t="str">
        <x:f>IF(B77="","Missing Name","OK")</x:f>
        <x:v>OK</x:v>
      </x:c>
      <x:c r="F77" s="17" t="str">
        <x:f>IF(Raw_HR_Data!F75="","Missing Salary","OK")</x:f>
        <x:v>OK</x:v>
      </x:c>
      <x:c r="G77" s="17" t="str">
        <x:f>IF(AND(Raw_HR_Data!F75&lt;&gt;"",NOT(ISNUMBER(Raw_HR_Data!F75))),"Invalid Salary Type","OK")</x:f>
        <x:v>OK</x:v>
      </x:c>
      <x:c r="H77" s="17" t="str">
        <x:f>IF(Raw_HR_Data!I75&lt;0,"Invalid Deduction","OK")</x:f>
        <x:v>OK</x:v>
      </x:c>
      <x:c r="I77" s="17" t="str">
        <x:f>IF(OR(NOT(ISNUMBER(Raw_HR_Data!F75)),NOT(ISNUMBER(Raw_HR_Data!G75)),NOT(ISNUMBER(Raw_HR_Data!H75)),NOT(ISNUMBER(Raw_HR_Data!I75))),"Check Source Data",IF(Raw_HR_Data!J75=Raw_HR_Data!F75+Raw_HR_Data!G75+Raw_HR_Data!H75-Raw_HR_Data!I75,"OK","Net Pay Error"))</x:f>
        <x:v>OK</x:v>
      </x:c>
      <x:c r="J77" s="17" t="str">
        <x:f>IF(Raw_HR_Data!K75="","Missing Bank Status","OK")</x:f>
        <x:v>OK</x:v>
      </x:c>
      <x:c r="K77" s="17" t="str">
        <x:f>IF(Raw_HR_Data!L75="","Missing PAN","OK")</x:f>
        <x:v>OK</x:v>
      </x:c>
      <x:c r="L77" s="17" t="str">
        <x:f>IF(Raw_HR_Data!M75&gt;31,"Invalid Attendance","OK")</x:f>
        <x:v>OK</x:v>
      </x:c>
      <x:c r="M77" s="17" t="str">
        <x:f>IF(OR(Raw_HR_Data!N75&gt;10,Raw_HR_Data!N75&gt;Raw_HR_Data!M75),"Invalid Leave","OK")</x:f>
        <x:v>OK</x:v>
      </x:c>
      <x:c r="N77" s="17" t="str">
        <x:f>IF(OR(Raw_HR_Data!O75="Processed",Raw_HR_Data!O75="Pending",Raw_HR_Data!O75="Hold"),"OK","Invalid Payroll Status")</x:f>
        <x:v>OK</x:v>
      </x:c>
      <x:c r="O77" s="17">
        <x:f>COUNTIF(D77:N77,"&lt;&gt;OK")-COUNTIF(I77,"Check Source Data")+IF(I77="Check Source Data",1,0)</x:f>
        <x:v>0</x:v>
      </x:c>
      <x:c r="P77" s="17" t="str">
        <x:f>IF(O77=0,"Clean","Error Found")</x:f>
        <x:v>Clean</x:v>
      </x:c>
      <x:c r="Q77" s="18" t="str">
        <x:f>IF(P77="Clean","No action needed","Review raw record and update Validated_Data")</x:f>
        <x:v>No action needed</x:v>
      </x:c>
    </x:row>
    <x:row r="78">
      <x:c r="A78" s="15" t="str">
        <x:f>Raw_HR_Data!A76</x:f>
        <x:v>EMP58629</x:v>
      </x:c>
      <x:c r="B78" s="16" t="str">
        <x:f>Raw_HR_Data!B76</x:f>
        <x:v>Rohan Patel</x:v>
      </x:c>
      <x:c r="C78" s="16" t="str">
        <x:f>Raw_HR_Data!C76</x:f>
        <x:v>Finance Ops</x:v>
      </x:c>
      <x:c r="D78" s="17" t="str">
        <x:f>IF(COUNTIF(Raw_HR_Data!$A$2:$A$221,A78)&gt;1,"Duplicate","OK")</x:f>
        <x:v>OK</x:v>
      </x:c>
      <x:c r="E78" s="17" t="str">
        <x:f>IF(B78="","Missing Name","OK")</x:f>
        <x:v>OK</x:v>
      </x:c>
      <x:c r="F78" s="17" t="str">
        <x:f>IF(Raw_HR_Data!F76="","Missing Salary","OK")</x:f>
        <x:v>OK</x:v>
      </x:c>
      <x:c r="G78" s="17" t="str">
        <x:f>IF(AND(Raw_HR_Data!F76&lt;&gt;"",NOT(ISNUMBER(Raw_HR_Data!F76))),"Invalid Salary Type","OK")</x:f>
        <x:v>OK</x:v>
      </x:c>
      <x:c r="H78" s="17" t="str">
        <x:f>IF(Raw_HR_Data!I76&lt;0,"Invalid Deduction","OK")</x:f>
        <x:v>OK</x:v>
      </x:c>
      <x:c r="I78" s="17" t="str">
        <x:f>IF(OR(NOT(ISNUMBER(Raw_HR_Data!F76)),NOT(ISNUMBER(Raw_HR_Data!G76)),NOT(ISNUMBER(Raw_HR_Data!H76)),NOT(ISNUMBER(Raw_HR_Data!I76))),"Check Source Data",IF(Raw_HR_Data!J76=Raw_HR_Data!F76+Raw_HR_Data!G76+Raw_HR_Data!H76-Raw_HR_Data!I76,"OK","Net Pay Error"))</x:f>
        <x:v>OK</x:v>
      </x:c>
      <x:c r="J78" s="17" t="str">
        <x:f>IF(Raw_HR_Data!K76="","Missing Bank Status","OK")</x:f>
        <x:v>OK</x:v>
      </x:c>
      <x:c r="K78" s="17" t="str">
        <x:f>IF(Raw_HR_Data!L76="","Missing PAN","OK")</x:f>
        <x:v>OK</x:v>
      </x:c>
      <x:c r="L78" s="17" t="str">
        <x:f>IF(Raw_HR_Data!M76&gt;31,"Invalid Attendance","OK")</x:f>
        <x:v>OK</x:v>
      </x:c>
      <x:c r="M78" s="17" t="str">
        <x:f>IF(OR(Raw_HR_Data!N76&gt;10,Raw_HR_Data!N76&gt;Raw_HR_Data!M76),"Invalid Leave","OK")</x:f>
        <x:v>OK</x:v>
      </x:c>
      <x:c r="N78" s="17" t="str">
        <x:f>IF(OR(Raw_HR_Data!O76="Processed",Raw_HR_Data!O76="Pending",Raw_HR_Data!O76="Hold"),"OK","Invalid Payroll Status")</x:f>
        <x:v>OK</x:v>
      </x:c>
      <x:c r="O78" s="17">
        <x:f>COUNTIF(D78:N78,"&lt;&gt;OK")-COUNTIF(I78,"Check Source Data")+IF(I78="Check Source Data",1,0)</x:f>
        <x:v>0</x:v>
      </x:c>
      <x:c r="P78" s="17" t="str">
        <x:f>IF(O78=0,"Clean","Error Found")</x:f>
        <x:v>Clean</x:v>
      </x:c>
      <x:c r="Q78" s="18" t="str">
        <x:f>IF(P78="Clean","No action needed","Review raw record and update Validated_Data")</x:f>
        <x:v>No action needed</x:v>
      </x:c>
    </x:row>
    <x:row r="79">
      <x:c r="A79" s="15" t="str">
        <x:f>Raw_HR_Data!A77</x:f>
        <x:v>EMP57537</x:v>
      </x:c>
      <x:c r="B79" s="16" t="str">
        <x:f>Raw_HR_Data!B77</x:f>
        <x:v>David Reddy</x:v>
      </x:c>
      <x:c r="C79" s="16" t="str">
        <x:f>Raw_HR_Data!C77</x:f>
        <x:v>IT Support</x:v>
      </x:c>
      <x:c r="D79" s="17" t="str">
        <x:f>IF(COUNTIF(Raw_HR_Data!$A$2:$A$221,A79)&gt;1,"Duplicate","OK")</x:f>
        <x:v>OK</x:v>
      </x:c>
      <x:c r="E79" s="17" t="str">
        <x:f>IF(B79="","Missing Name","OK")</x:f>
        <x:v>OK</x:v>
      </x:c>
      <x:c r="F79" s="17" t="str">
        <x:f>IF(Raw_HR_Data!F77="","Missing Salary","OK")</x:f>
        <x:v>OK</x:v>
      </x:c>
      <x:c r="G79" s="17" t="str">
        <x:f>IF(AND(Raw_HR_Data!F77&lt;&gt;"",NOT(ISNUMBER(Raw_HR_Data!F77))),"Invalid Salary Type","OK")</x:f>
        <x:v>OK</x:v>
      </x:c>
      <x:c r="H79" s="17" t="str">
        <x:f>IF(Raw_HR_Data!I77&lt;0,"Invalid Deduction","OK")</x:f>
        <x:v>OK</x:v>
      </x:c>
      <x:c r="I79" s="17" t="str">
        <x:f>IF(OR(NOT(ISNUMBER(Raw_HR_Data!F77)),NOT(ISNUMBER(Raw_HR_Data!G77)),NOT(ISNUMBER(Raw_HR_Data!H77)),NOT(ISNUMBER(Raw_HR_Data!I77))),"Check Source Data",IF(Raw_HR_Data!J77=Raw_HR_Data!F77+Raw_HR_Data!G77+Raw_HR_Data!H77-Raw_HR_Data!I77,"OK","Net Pay Error"))</x:f>
        <x:v>OK</x:v>
      </x:c>
      <x:c r="J79" s="17" t="str">
        <x:f>IF(Raw_HR_Data!K77="","Missing Bank Status","OK")</x:f>
        <x:v>OK</x:v>
      </x:c>
      <x:c r="K79" s="17" t="str">
        <x:f>IF(Raw_HR_Data!L77="","Missing PAN","OK")</x:f>
        <x:v>OK</x:v>
      </x:c>
      <x:c r="L79" s="17" t="str">
        <x:f>IF(Raw_HR_Data!M77&gt;31,"Invalid Attendance","OK")</x:f>
        <x:v>OK</x:v>
      </x:c>
      <x:c r="M79" s="17" t="str">
        <x:f>IF(OR(Raw_HR_Data!N77&gt;10,Raw_HR_Data!N77&gt;Raw_HR_Data!M77),"Invalid Leave","OK")</x:f>
        <x:v>OK</x:v>
      </x:c>
      <x:c r="N79" s="17" t="str">
        <x:f>IF(OR(Raw_HR_Data!O77="Processed",Raw_HR_Data!O77="Pending",Raw_HR_Data!O77="Hold"),"OK","Invalid Payroll Status")</x:f>
        <x:v>OK</x:v>
      </x:c>
      <x:c r="O79" s="17">
        <x:f>COUNTIF(D79:N79,"&lt;&gt;OK")-COUNTIF(I79,"Check Source Data")+IF(I79="Check Source Data",1,0)</x:f>
        <x:v>0</x:v>
      </x:c>
      <x:c r="P79" s="17" t="str">
        <x:f>IF(O79=0,"Clean","Error Found")</x:f>
        <x:v>Clean</x:v>
      </x:c>
      <x:c r="Q79" s="18" t="str">
        <x:f>IF(P79="Clean","No action needed","Review raw record and update Validated_Data")</x:f>
        <x:v>No action needed</x:v>
      </x:c>
    </x:row>
    <x:row r="80">
      <x:c r="A80" s="15" t="str">
        <x:f>Raw_HR_Data!A78</x:f>
        <x:v>EMP53713</x:v>
      </x:c>
      <x:c r="B80" s="16" t="str">
        <x:f>Raw_HR_Data!B78</x:f>
        <x:v>Kavya Desai</x:v>
      </x:c>
      <x:c r="C80" s="16" t="str">
        <x:f>Raw_HR_Data!C78</x:f>
        <x:v>Consulting Ops</x:v>
      </x:c>
      <x:c r="D80" s="17" t="str">
        <x:f>IF(COUNTIF(Raw_HR_Data!$A$2:$A$221,A80)&gt;1,"Duplicate","OK")</x:f>
        <x:v>OK</x:v>
      </x:c>
      <x:c r="E80" s="17" t="str">
        <x:f>IF(B80="","Missing Name","OK")</x:f>
        <x:v>OK</x:v>
      </x:c>
      <x:c r="F80" s="17" t="str">
        <x:f>IF(Raw_HR_Data!F78="","Missing Salary","OK")</x:f>
        <x:v>OK</x:v>
      </x:c>
      <x:c r="G80" s="17" t="str">
        <x:f>IF(AND(Raw_HR_Data!F78&lt;&gt;"",NOT(ISNUMBER(Raw_HR_Data!F78))),"Invalid Salary Type","OK")</x:f>
        <x:v>OK</x:v>
      </x:c>
      <x:c r="H80" s="17" t="str">
        <x:f>IF(Raw_HR_Data!I78&lt;0,"Invalid Deduction","OK")</x:f>
        <x:v>OK</x:v>
      </x:c>
      <x:c r="I80" s="17" t="str">
        <x:f>IF(OR(NOT(ISNUMBER(Raw_HR_Data!F78)),NOT(ISNUMBER(Raw_HR_Data!G78)),NOT(ISNUMBER(Raw_HR_Data!H78)),NOT(ISNUMBER(Raw_HR_Data!I78))),"Check Source Data",IF(Raw_HR_Data!J78=Raw_HR_Data!F78+Raw_HR_Data!G78+Raw_HR_Data!H78-Raw_HR_Data!I78,"OK","Net Pay Error"))</x:f>
        <x:v>OK</x:v>
      </x:c>
      <x:c r="J80" s="17" t="str">
        <x:f>IF(Raw_HR_Data!K78="","Missing Bank Status","OK")</x:f>
        <x:v>OK</x:v>
      </x:c>
      <x:c r="K80" s="17" t="str">
        <x:f>IF(Raw_HR_Data!L78="","Missing PAN","OK")</x:f>
        <x:v>OK</x:v>
      </x:c>
      <x:c r="L80" s="17" t="str">
        <x:f>IF(Raw_HR_Data!M78&gt;31,"Invalid Attendance","OK")</x:f>
        <x:v>OK</x:v>
      </x:c>
      <x:c r="M80" s="17" t="str">
        <x:f>IF(OR(Raw_HR_Data!N78&gt;10,Raw_HR_Data!N78&gt;Raw_HR_Data!M78),"Invalid Leave","OK")</x:f>
        <x:v>OK</x:v>
      </x:c>
      <x:c r="N80" s="17" t="str">
        <x:f>IF(OR(Raw_HR_Data!O78="Processed",Raw_HR_Data!O78="Pending",Raw_HR_Data!O78="Hold"),"OK","Invalid Payroll Status")</x:f>
        <x:v>OK</x:v>
      </x:c>
      <x:c r="O80" s="17">
        <x:f>COUNTIF(D80:N80,"&lt;&gt;OK")-COUNTIF(I80,"Check Source Data")+IF(I80="Check Source Data",1,0)</x:f>
        <x:v>0</x:v>
      </x:c>
      <x:c r="P80" s="17" t="str">
        <x:f>IF(O80=0,"Clean","Error Found")</x:f>
        <x:v>Clean</x:v>
      </x:c>
      <x:c r="Q80" s="18" t="str">
        <x:f>IF(P80="Clean","No action needed","Review raw record and update Validated_Data")</x:f>
        <x:v>No action needed</x:v>
      </x:c>
    </x:row>
    <x:row r="81">
      <x:c r="A81" s="15" t="str">
        <x:f>Raw_HR_Data!A79</x:f>
        <x:v>EMP80807</x:v>
      </x:c>
      <x:c r="B81" s="16" t="str">
        <x:f>Raw_HR_Data!B79</x:f>
        <x:v>Kiran Taylor</x:v>
      </x:c>
      <x:c r="C81" s="16" t="str">
        <x:f>Raw_HR_Data!C79</x:f>
        <x:v>Finance Ops</x:v>
      </x:c>
      <x:c r="D81" s="17" t="str">
        <x:f>IF(COUNTIF(Raw_HR_Data!$A$2:$A$221,A81)&gt;1,"Duplicate","OK")</x:f>
        <x:v>OK</x:v>
      </x:c>
      <x:c r="E81" s="17" t="str">
        <x:f>IF(B81="","Missing Name","OK")</x:f>
        <x:v>OK</x:v>
      </x:c>
      <x:c r="F81" s="17" t="str">
        <x:f>IF(Raw_HR_Data!F79="","Missing Salary","OK")</x:f>
        <x:v>OK</x:v>
      </x:c>
      <x:c r="G81" s="17" t="str">
        <x:f>IF(AND(Raw_HR_Data!F79&lt;&gt;"",NOT(ISNUMBER(Raw_HR_Data!F79))),"Invalid Salary Type","OK")</x:f>
        <x:v>OK</x:v>
      </x:c>
      <x:c r="H81" s="17" t="str">
        <x:f>IF(Raw_HR_Data!I79&lt;0,"Invalid Deduction","OK")</x:f>
        <x:v>OK</x:v>
      </x:c>
      <x:c r="I81" s="17" t="str">
        <x:f>IF(OR(NOT(ISNUMBER(Raw_HR_Data!F79)),NOT(ISNUMBER(Raw_HR_Data!G79)),NOT(ISNUMBER(Raw_HR_Data!H79)),NOT(ISNUMBER(Raw_HR_Data!I79))),"Check Source Data",IF(Raw_HR_Data!J79=Raw_HR_Data!F79+Raw_HR_Data!G79+Raw_HR_Data!H79-Raw_HR_Data!I79,"OK","Net Pay Error"))</x:f>
        <x:v>OK</x:v>
      </x:c>
      <x:c r="J81" s="17" t="str">
        <x:f>IF(Raw_HR_Data!K79="","Missing Bank Status","OK")</x:f>
        <x:v>OK</x:v>
      </x:c>
      <x:c r="K81" s="17" t="str">
        <x:f>IF(Raw_HR_Data!L79="","Missing PAN","OK")</x:f>
        <x:v>OK</x:v>
      </x:c>
      <x:c r="L81" s="17" t="str">
        <x:f>IF(Raw_HR_Data!M79&gt;31,"Invalid Attendance","OK")</x:f>
        <x:v>OK</x:v>
      </x:c>
      <x:c r="M81" s="17" t="str">
        <x:f>IF(OR(Raw_HR_Data!N79&gt;10,Raw_HR_Data!N79&gt;Raw_HR_Data!M79),"Invalid Leave","OK")</x:f>
        <x:v>OK</x:v>
      </x:c>
      <x:c r="N81" s="17" t="str">
        <x:f>IF(OR(Raw_HR_Data!O79="Processed",Raw_HR_Data!O79="Pending",Raw_HR_Data!O79="Hold"),"OK","Invalid Payroll Status")</x:f>
        <x:v>OK</x:v>
      </x:c>
      <x:c r="O81" s="17">
        <x:f>COUNTIF(D81:N81,"&lt;&gt;OK")-COUNTIF(I81,"Check Source Data")+IF(I81="Check Source Data",1,0)</x:f>
        <x:v>0</x:v>
      </x:c>
      <x:c r="P81" s="17" t="str">
        <x:f>IF(O81=0,"Clean","Error Found")</x:f>
        <x:v>Clean</x:v>
      </x:c>
      <x:c r="Q81" s="18" t="str">
        <x:f>IF(P81="Clean","No action needed","Review raw record and update Validated_Data")</x:f>
        <x:v>No action needed</x:v>
      </x:c>
    </x:row>
    <x:row r="82">
      <x:c r="A82" s="15" t="str">
        <x:f>Raw_HR_Data!A80</x:f>
        <x:v>EMP78955</x:v>
      </x:c>
      <x:c r="B82" s="16" t="str">
        <x:f>Raw_HR_Data!B80</x:f>
        <x:v>Deepika Sharma</x:v>
      </x:c>
      <x:c r="C82" s="16" t="str">
        <x:f>Raw_HR_Data!C80</x:f>
        <x:v>HR Shared Services</x:v>
      </x:c>
      <x:c r="D82" s="17" t="str">
        <x:f>IF(COUNTIF(Raw_HR_Data!$A$2:$A$221,A82)&gt;1,"Duplicate","OK")</x:f>
        <x:v>OK</x:v>
      </x:c>
      <x:c r="E82" s="17" t="str">
        <x:f>IF(B82="","Missing Name","OK")</x:f>
        <x:v>OK</x:v>
      </x:c>
      <x:c r="F82" s="17" t="str">
        <x:f>IF(Raw_HR_Data!F80="","Missing Salary","OK")</x:f>
        <x:v>OK</x:v>
      </x:c>
      <x:c r="G82" s="17" t="str">
        <x:f>IF(AND(Raw_HR_Data!F80&lt;&gt;"",NOT(ISNUMBER(Raw_HR_Data!F80))),"Invalid Salary Type","OK")</x:f>
        <x:v>OK</x:v>
      </x:c>
      <x:c r="H82" s="17" t="str">
        <x:f>IF(Raw_HR_Data!I80&lt;0,"Invalid Deduction","OK")</x:f>
        <x:v>OK</x:v>
      </x:c>
      <x:c r="I82" s="17" t="str">
        <x:f>IF(OR(NOT(ISNUMBER(Raw_HR_Data!F80)),NOT(ISNUMBER(Raw_HR_Data!G80)),NOT(ISNUMBER(Raw_HR_Data!H80)),NOT(ISNUMBER(Raw_HR_Data!I80))),"Check Source Data",IF(Raw_HR_Data!J80=Raw_HR_Data!F80+Raw_HR_Data!G80+Raw_HR_Data!H80-Raw_HR_Data!I80,"OK","Net Pay Error"))</x:f>
        <x:v>OK</x:v>
      </x:c>
      <x:c r="J82" s="17" t="str">
        <x:f>IF(Raw_HR_Data!K80="","Missing Bank Status","OK")</x:f>
        <x:v>OK</x:v>
      </x:c>
      <x:c r="K82" s="17" t="str">
        <x:f>IF(Raw_HR_Data!L80="","Missing PAN","OK")</x:f>
        <x:v>OK</x:v>
      </x:c>
      <x:c r="L82" s="17" t="str">
        <x:f>IF(Raw_HR_Data!M80&gt;31,"Invalid Attendance","OK")</x:f>
        <x:v>OK</x:v>
      </x:c>
      <x:c r="M82" s="17" t="str">
        <x:f>IF(OR(Raw_HR_Data!N80&gt;10,Raw_HR_Data!N80&gt;Raw_HR_Data!M80),"Invalid Leave","OK")</x:f>
        <x:v>OK</x:v>
      </x:c>
      <x:c r="N82" s="17" t="str">
        <x:f>IF(OR(Raw_HR_Data!O80="Processed",Raw_HR_Data!O80="Pending",Raw_HR_Data!O80="Hold"),"OK","Invalid Payroll Status")</x:f>
        <x:v>OK</x:v>
      </x:c>
      <x:c r="O82" s="17">
        <x:f>COUNTIF(D82:N82,"&lt;&gt;OK")-COUNTIF(I82,"Check Source Data")+IF(I82="Check Source Data",1,0)</x:f>
        <x:v>0</x:v>
      </x:c>
      <x:c r="P82" s="17" t="str">
        <x:f>IF(O82=0,"Clean","Error Found")</x:f>
        <x:v>Clean</x:v>
      </x:c>
      <x:c r="Q82" s="18" t="str">
        <x:f>IF(P82="Clean","No action needed","Review raw record and update Validated_Data")</x:f>
        <x:v>No action needed</x:v>
      </x:c>
    </x:row>
    <x:row r="83">
      <x:c r="A83" s="15" t="str">
        <x:f>Raw_HR_Data!A81</x:f>
        <x:v>EMP70036</x:v>
      </x:c>
      <x:c r="B83" s="16" t="str">
        <x:f>Raw_HR_Data!B81</x:f>
        <x:v>Aisha Bose</x:v>
      </x:c>
      <x:c r="C83" s="16" t="str">
        <x:f>Raw_HR_Data!C81</x:f>
        <x:v>Audit Support</x:v>
      </x:c>
      <x:c r="D83" s="17" t="str">
        <x:f>IF(COUNTIF(Raw_HR_Data!$A$2:$A$221,A83)&gt;1,"Duplicate","OK")</x:f>
        <x:v>OK</x:v>
      </x:c>
      <x:c r="E83" s="17" t="str">
        <x:f>IF(B83="","Missing Name","OK")</x:f>
        <x:v>OK</x:v>
      </x:c>
      <x:c r="F83" s="17" t="str">
        <x:f>IF(Raw_HR_Data!F81="","Missing Salary","OK")</x:f>
        <x:v>OK</x:v>
      </x:c>
      <x:c r="G83" s="17" t="str">
        <x:f>IF(AND(Raw_HR_Data!F81&lt;&gt;"",NOT(ISNUMBER(Raw_HR_Data!F81))),"Invalid Salary Type","OK")</x:f>
        <x:v>OK</x:v>
      </x:c>
      <x:c r="H83" s="17" t="str">
        <x:f>IF(Raw_HR_Data!I81&lt;0,"Invalid Deduction","OK")</x:f>
        <x:v>OK</x:v>
      </x:c>
      <x:c r="I83" s="17" t="str">
        <x:f>IF(OR(NOT(ISNUMBER(Raw_HR_Data!F81)),NOT(ISNUMBER(Raw_HR_Data!G81)),NOT(ISNUMBER(Raw_HR_Data!H81)),NOT(ISNUMBER(Raw_HR_Data!I81))),"Check Source Data",IF(Raw_HR_Data!J81=Raw_HR_Data!F81+Raw_HR_Data!G81+Raw_HR_Data!H81-Raw_HR_Data!I81,"OK","Net Pay Error"))</x:f>
        <x:v>OK</x:v>
      </x:c>
      <x:c r="J83" s="17" t="str">
        <x:f>IF(Raw_HR_Data!K81="","Missing Bank Status","OK")</x:f>
        <x:v>OK</x:v>
      </x:c>
      <x:c r="K83" s="17" t="str">
        <x:f>IF(Raw_HR_Data!L81="","Missing PAN","OK")</x:f>
        <x:v>OK</x:v>
      </x:c>
      <x:c r="L83" s="17" t="str">
        <x:f>IF(Raw_HR_Data!M81&gt;31,"Invalid Attendance","OK")</x:f>
        <x:v>OK</x:v>
      </x:c>
      <x:c r="M83" s="17" t="str">
        <x:f>IF(OR(Raw_HR_Data!N81&gt;10,Raw_HR_Data!N81&gt;Raw_HR_Data!M81),"Invalid Leave","OK")</x:f>
        <x:v>OK</x:v>
      </x:c>
      <x:c r="N83" s="17" t="str">
        <x:f>IF(OR(Raw_HR_Data!O81="Processed",Raw_HR_Data!O81="Pending",Raw_HR_Data!O81="Hold"),"OK","Invalid Payroll Status")</x:f>
        <x:v>OK</x:v>
      </x:c>
      <x:c r="O83" s="17">
        <x:f>COUNTIF(D83:N83,"&lt;&gt;OK")-COUNTIF(I83,"Check Source Data")+IF(I83="Check Source Data",1,0)</x:f>
        <x:v>0</x:v>
      </x:c>
      <x:c r="P83" s="17" t="str">
        <x:f>IF(O83=0,"Clean","Error Found")</x:f>
        <x:v>Clean</x:v>
      </x:c>
      <x:c r="Q83" s="18" t="str">
        <x:f>IF(P83="Clean","No action needed","Review raw record and update Validated_Data")</x:f>
        <x:v>No action needed</x:v>
      </x:c>
    </x:row>
    <x:row r="84">
      <x:c r="A84" s="15" t="str">
        <x:f>Raw_HR_Data!A82</x:f>
        <x:v>EMP46046</x:v>
      </x:c>
      <x:c r="B84" s="16" t="str">
        <x:f>Raw_HR_Data!B82</x:f>
        <x:v>Mohammed Lee</x:v>
      </x:c>
      <x:c r="C84" s="16" t="str">
        <x:f>Raw_HR_Data!C82</x:f>
        <x:v>Consulting Ops</x:v>
      </x:c>
      <x:c r="D84" s="17" t="str">
        <x:f>IF(COUNTIF(Raw_HR_Data!$A$2:$A$221,A84)&gt;1,"Duplicate","OK")</x:f>
        <x:v>OK</x:v>
      </x:c>
      <x:c r="E84" s="17" t="str">
        <x:f>IF(B84="","Missing Name","OK")</x:f>
        <x:v>OK</x:v>
      </x:c>
      <x:c r="F84" s="17" t="str">
        <x:f>IF(Raw_HR_Data!F82="","Missing Salary","OK")</x:f>
        <x:v>OK</x:v>
      </x:c>
      <x:c r="G84" s="17" t="str">
        <x:f>IF(AND(Raw_HR_Data!F82&lt;&gt;"",NOT(ISNUMBER(Raw_HR_Data!F82))),"Invalid Salary Type","OK")</x:f>
        <x:v>OK</x:v>
      </x:c>
      <x:c r="H84" s="17" t="str">
        <x:f>IF(Raw_HR_Data!I82&lt;0,"Invalid Deduction","OK")</x:f>
        <x:v>OK</x:v>
      </x:c>
      <x:c r="I84" s="17" t="str">
        <x:f>IF(OR(NOT(ISNUMBER(Raw_HR_Data!F82)),NOT(ISNUMBER(Raw_HR_Data!G82)),NOT(ISNUMBER(Raw_HR_Data!H82)),NOT(ISNUMBER(Raw_HR_Data!I82))),"Check Source Data",IF(Raw_HR_Data!J82=Raw_HR_Data!F82+Raw_HR_Data!G82+Raw_HR_Data!H82-Raw_HR_Data!I82,"OK","Net Pay Error"))</x:f>
        <x:v>OK</x:v>
      </x:c>
      <x:c r="J84" s="17" t="str">
        <x:f>IF(Raw_HR_Data!K82="","Missing Bank Status","OK")</x:f>
        <x:v>OK</x:v>
      </x:c>
      <x:c r="K84" s="17" t="str">
        <x:f>IF(Raw_HR_Data!L82="","Missing PAN","OK")</x:f>
        <x:v>OK</x:v>
      </x:c>
      <x:c r="L84" s="17" t="str">
        <x:f>IF(Raw_HR_Data!M82&gt;31,"Invalid Attendance","OK")</x:f>
        <x:v>OK</x:v>
      </x:c>
      <x:c r="M84" s="17" t="str">
        <x:f>IF(OR(Raw_HR_Data!N82&gt;10,Raw_HR_Data!N82&gt;Raw_HR_Data!M82),"Invalid Leave","OK")</x:f>
        <x:v>OK</x:v>
      </x:c>
      <x:c r="N84" s="17" t="str">
        <x:f>IF(OR(Raw_HR_Data!O82="Processed",Raw_HR_Data!O82="Pending",Raw_HR_Data!O82="Hold"),"OK","Invalid Payroll Status")</x:f>
        <x:v>OK</x:v>
      </x:c>
      <x:c r="O84" s="17">
        <x:f>COUNTIF(D84:N84,"&lt;&gt;OK")-COUNTIF(I84,"Check Source Data")+IF(I84="Check Source Data",1,0)</x:f>
        <x:v>0</x:v>
      </x:c>
      <x:c r="P84" s="17" t="str">
        <x:f>IF(O84=0,"Clean","Error Found")</x:f>
        <x:v>Clean</x:v>
      </x:c>
      <x:c r="Q84" s="18" t="str">
        <x:f>IF(P84="Clean","No action needed","Review raw record and update Validated_Data")</x:f>
        <x:v>No action needed</x:v>
      </x:c>
    </x:row>
    <x:row r="85">
      <x:c r="A85" s="15" t="str">
        <x:f>Raw_HR_Data!A83</x:f>
        <x:v>EMP64239</x:v>
      </x:c>
      <x:c r="B85" s="16" t="str">
        <x:f>Raw_HR_Data!B83</x:f>
        <x:v>Noah Thomas</x:v>
      </x:c>
      <x:c r="C85" s="16" t="str">
        <x:f>Raw_HR_Data!C83</x:f>
        <x:v>Audit Support</x:v>
      </x:c>
      <x:c r="D85" s="17" t="str">
        <x:f>IF(COUNTIF(Raw_HR_Data!$A$2:$A$221,A85)&gt;1,"Duplicate","OK")</x:f>
        <x:v>OK</x:v>
      </x:c>
      <x:c r="E85" s="17" t="str">
        <x:f>IF(B85="","Missing Name","OK")</x:f>
        <x:v>OK</x:v>
      </x:c>
      <x:c r="F85" s="17" t="str">
        <x:f>IF(Raw_HR_Data!F83="","Missing Salary","OK")</x:f>
        <x:v>OK</x:v>
      </x:c>
      <x:c r="G85" s="17" t="str">
        <x:f>IF(AND(Raw_HR_Data!F83&lt;&gt;"",NOT(ISNUMBER(Raw_HR_Data!F83))),"Invalid Salary Type","OK")</x:f>
        <x:v>OK</x:v>
      </x:c>
      <x:c r="H85" s="17" t="str">
        <x:f>IF(Raw_HR_Data!I83&lt;0,"Invalid Deduction","OK")</x:f>
        <x:v>OK</x:v>
      </x:c>
      <x:c r="I85" s="17" t="str">
        <x:f>IF(OR(NOT(ISNUMBER(Raw_HR_Data!F83)),NOT(ISNUMBER(Raw_HR_Data!G83)),NOT(ISNUMBER(Raw_HR_Data!H83)),NOT(ISNUMBER(Raw_HR_Data!I83))),"Check Source Data",IF(Raw_HR_Data!J83=Raw_HR_Data!F83+Raw_HR_Data!G83+Raw_HR_Data!H83-Raw_HR_Data!I83,"OK","Net Pay Error"))</x:f>
        <x:v>OK</x:v>
      </x:c>
      <x:c r="J85" s="17" t="str">
        <x:f>IF(Raw_HR_Data!K83="","Missing Bank Status","OK")</x:f>
        <x:v>OK</x:v>
      </x:c>
      <x:c r="K85" s="17" t="str">
        <x:f>IF(Raw_HR_Data!L83="","Missing PAN","OK")</x:f>
        <x:v>OK</x:v>
      </x:c>
      <x:c r="L85" s="17" t="str">
        <x:f>IF(Raw_HR_Data!M83&gt;31,"Invalid Attendance","OK")</x:f>
        <x:v>OK</x:v>
      </x:c>
      <x:c r="M85" s="17" t="str">
        <x:f>IF(OR(Raw_HR_Data!N83&gt;10,Raw_HR_Data!N83&gt;Raw_HR_Data!M83),"Invalid Leave","OK")</x:f>
        <x:v>OK</x:v>
      </x:c>
      <x:c r="N85" s="17" t="str">
        <x:f>IF(OR(Raw_HR_Data!O83="Processed",Raw_HR_Data!O83="Pending",Raw_HR_Data!O83="Hold"),"OK","Invalid Payroll Status")</x:f>
        <x:v>OK</x:v>
      </x:c>
      <x:c r="O85" s="17">
        <x:f>COUNTIF(D85:N85,"&lt;&gt;OK")-COUNTIF(I85,"Check Source Data")+IF(I85="Check Source Data",1,0)</x:f>
        <x:v>0</x:v>
      </x:c>
      <x:c r="P85" s="17" t="str">
        <x:f>IF(O85=0,"Clean","Error Found")</x:f>
        <x:v>Clean</x:v>
      </x:c>
      <x:c r="Q85" s="18" t="str">
        <x:f>IF(P85="Clean","No action needed","Review raw record and update Validated_Data")</x:f>
        <x:v>No action needed</x:v>
      </x:c>
    </x:row>
    <x:row r="86">
      <x:c r="A86" s="15" t="str">
        <x:f>Raw_HR_Data!A84</x:f>
        <x:v>EMP21188</x:v>
      </x:c>
      <x:c r="B86" s="16" t="str">
        <x:f>Raw_HR_Data!B84</x:f>
        <x:v>Arjun Martin</x:v>
      </x:c>
      <x:c r="C86" s="16" t="str">
        <x:f>Raw_HR_Data!C84</x:f>
        <x:v>HR Shared Services</x:v>
      </x:c>
      <x:c r="D86" s="17" t="str">
        <x:f>IF(COUNTIF(Raw_HR_Data!$A$2:$A$221,A86)&gt;1,"Duplicate","OK")</x:f>
        <x:v>OK</x:v>
      </x:c>
      <x:c r="E86" s="17" t="str">
        <x:f>IF(B86="","Missing Name","OK")</x:f>
        <x:v>OK</x:v>
      </x:c>
      <x:c r="F86" s="17" t="str">
        <x:f>IF(Raw_HR_Data!F84="","Missing Salary","OK")</x:f>
        <x:v>OK</x:v>
      </x:c>
      <x:c r="G86" s="17" t="str">
        <x:f>IF(AND(Raw_HR_Data!F84&lt;&gt;"",NOT(ISNUMBER(Raw_HR_Data!F84))),"Invalid Salary Type","OK")</x:f>
        <x:v>OK</x:v>
      </x:c>
      <x:c r="H86" s="17" t="str">
        <x:f>IF(Raw_HR_Data!I84&lt;0,"Invalid Deduction","OK")</x:f>
        <x:v>OK</x:v>
      </x:c>
      <x:c r="I86" s="17" t="str">
        <x:f>IF(OR(NOT(ISNUMBER(Raw_HR_Data!F84)),NOT(ISNUMBER(Raw_HR_Data!G84)),NOT(ISNUMBER(Raw_HR_Data!H84)),NOT(ISNUMBER(Raw_HR_Data!I84))),"Check Source Data",IF(Raw_HR_Data!J84=Raw_HR_Data!F84+Raw_HR_Data!G84+Raw_HR_Data!H84-Raw_HR_Data!I84,"OK","Net Pay Error"))</x:f>
        <x:v>OK</x:v>
      </x:c>
      <x:c r="J86" s="17" t="str">
        <x:f>IF(Raw_HR_Data!K84="","Missing Bank Status","OK")</x:f>
        <x:v>OK</x:v>
      </x:c>
      <x:c r="K86" s="17" t="str">
        <x:f>IF(Raw_HR_Data!L84="","Missing PAN","OK")</x:f>
        <x:v>OK</x:v>
      </x:c>
      <x:c r="L86" s="17" t="str">
        <x:f>IF(Raw_HR_Data!M84&gt;31,"Invalid Attendance","OK")</x:f>
        <x:v>OK</x:v>
      </x:c>
      <x:c r="M86" s="17" t="str">
        <x:f>IF(OR(Raw_HR_Data!N84&gt;10,Raw_HR_Data!N84&gt;Raw_HR_Data!M84),"Invalid Leave","OK")</x:f>
        <x:v>OK</x:v>
      </x:c>
      <x:c r="N86" s="17" t="str">
        <x:f>IF(OR(Raw_HR_Data!O84="Processed",Raw_HR_Data!O84="Pending",Raw_HR_Data!O84="Hold"),"OK","Invalid Payroll Status")</x:f>
        <x:v>OK</x:v>
      </x:c>
      <x:c r="O86" s="17">
        <x:f>COUNTIF(D86:N86,"&lt;&gt;OK")-COUNTIF(I86,"Check Source Data")+IF(I86="Check Source Data",1,0)</x:f>
        <x:v>0</x:v>
      </x:c>
      <x:c r="P86" s="17" t="str">
        <x:f>IF(O86=0,"Clean","Error Found")</x:f>
        <x:v>Clean</x:v>
      </x:c>
      <x:c r="Q86" s="18" t="str">
        <x:f>IF(P86="Clean","No action needed","Review raw record and update Validated_Data")</x:f>
        <x:v>No action needed</x:v>
      </x:c>
    </x:row>
    <x:row r="87">
      <x:c r="A87" s="15" t="str">
        <x:f>Raw_HR_Data!A85</x:f>
        <x:v>EMP16743</x:v>
      </x:c>
      <x:c r="B87" s="16" t="str">
        <x:f>Raw_HR_Data!B85</x:f>
        <x:v>Lucas Pillai</x:v>
      </x:c>
      <x:c r="C87" s="16" t="str">
        <x:f>Raw_HR_Data!C85</x:f>
        <x:v>Talent Ops</x:v>
      </x:c>
      <x:c r="D87" s="17" t="str">
        <x:f>IF(COUNTIF(Raw_HR_Data!$A$2:$A$221,A87)&gt;1,"Duplicate","OK")</x:f>
        <x:v>OK</x:v>
      </x:c>
      <x:c r="E87" s="17" t="str">
        <x:f>IF(B87="","Missing Name","OK")</x:f>
        <x:v>OK</x:v>
      </x:c>
      <x:c r="F87" s="17" t="str">
        <x:f>IF(Raw_HR_Data!F85="","Missing Salary","OK")</x:f>
        <x:v>OK</x:v>
      </x:c>
      <x:c r="G87" s="17" t="str">
        <x:f>IF(AND(Raw_HR_Data!F85&lt;&gt;"",NOT(ISNUMBER(Raw_HR_Data!F85))),"Invalid Salary Type","OK")</x:f>
        <x:v>OK</x:v>
      </x:c>
      <x:c r="H87" s="17" t="str">
        <x:f>IF(Raw_HR_Data!I85&lt;0,"Invalid Deduction","OK")</x:f>
        <x:v>OK</x:v>
      </x:c>
      <x:c r="I87" s="17" t="str">
        <x:f>IF(OR(NOT(ISNUMBER(Raw_HR_Data!F85)),NOT(ISNUMBER(Raw_HR_Data!G85)),NOT(ISNUMBER(Raw_HR_Data!H85)),NOT(ISNUMBER(Raw_HR_Data!I85))),"Check Source Data",IF(Raw_HR_Data!J85=Raw_HR_Data!F85+Raw_HR_Data!G85+Raw_HR_Data!H85-Raw_HR_Data!I85,"OK","Net Pay Error"))</x:f>
        <x:v>OK</x:v>
      </x:c>
      <x:c r="J87" s="17" t="str">
        <x:f>IF(Raw_HR_Data!K85="","Missing Bank Status","OK")</x:f>
        <x:v>OK</x:v>
      </x:c>
      <x:c r="K87" s="17" t="str">
        <x:f>IF(Raw_HR_Data!L85="","Missing PAN","OK")</x:f>
        <x:v>OK</x:v>
      </x:c>
      <x:c r="L87" s="17" t="str">
        <x:f>IF(Raw_HR_Data!M85&gt;31,"Invalid Attendance","OK")</x:f>
        <x:v>OK</x:v>
      </x:c>
      <x:c r="M87" s="17" t="str">
        <x:f>IF(OR(Raw_HR_Data!N85&gt;10,Raw_HR_Data!N85&gt;Raw_HR_Data!M85),"Invalid Leave","OK")</x:f>
        <x:v>OK</x:v>
      </x:c>
      <x:c r="N87" s="17" t="str">
        <x:f>IF(OR(Raw_HR_Data!O85="Processed",Raw_HR_Data!O85="Pending",Raw_HR_Data!O85="Hold"),"OK","Invalid Payroll Status")</x:f>
        <x:v>OK</x:v>
      </x:c>
      <x:c r="O87" s="17">
        <x:f>COUNTIF(D87:N87,"&lt;&gt;OK")-COUNTIF(I87,"Check Source Data")+IF(I87="Check Source Data",1,0)</x:f>
        <x:v>0</x:v>
      </x:c>
      <x:c r="P87" s="17" t="str">
        <x:f>IF(O87=0,"Clean","Error Found")</x:f>
        <x:v>Clean</x:v>
      </x:c>
      <x:c r="Q87" s="18" t="str">
        <x:f>IF(P87="Clean","No action needed","Review raw record and update Validated_Data")</x:f>
        <x:v>No action needed</x:v>
      </x:c>
    </x:row>
    <x:row r="88">
      <x:c r="A88" s="15" t="str">
        <x:f>Raw_HR_Data!A86</x:f>
        <x:v>EMP46512</x:v>
      </x:c>
      <x:c r="B88" s="16" t="str">
        <x:f>Raw_HR_Data!B86</x:f>
        <x:v>James Taylor</x:v>
      </x:c>
      <x:c r="C88" s="16" t="str">
        <x:f>Raw_HR_Data!C86</x:f>
        <x:v>Risk Advisory</x:v>
      </x:c>
      <x:c r="D88" s="17" t="str">
        <x:f>IF(COUNTIF(Raw_HR_Data!$A$2:$A$221,A88)&gt;1,"Duplicate","OK")</x:f>
        <x:v>OK</x:v>
      </x:c>
      <x:c r="E88" s="17" t="str">
        <x:f>IF(B88="","Missing Name","OK")</x:f>
        <x:v>OK</x:v>
      </x:c>
      <x:c r="F88" s="17" t="str">
        <x:f>IF(Raw_HR_Data!F86="","Missing Salary","OK")</x:f>
        <x:v>OK</x:v>
      </x:c>
      <x:c r="G88" s="17" t="str">
        <x:f>IF(AND(Raw_HR_Data!F86&lt;&gt;"",NOT(ISNUMBER(Raw_HR_Data!F86))),"Invalid Salary Type","OK")</x:f>
        <x:v>OK</x:v>
      </x:c>
      <x:c r="H88" s="17" t="str">
        <x:f>IF(Raw_HR_Data!I86&lt;0,"Invalid Deduction","OK")</x:f>
        <x:v>OK</x:v>
      </x:c>
      <x:c r="I88" s="17" t="str">
        <x:f>IF(OR(NOT(ISNUMBER(Raw_HR_Data!F86)),NOT(ISNUMBER(Raw_HR_Data!G86)),NOT(ISNUMBER(Raw_HR_Data!H86)),NOT(ISNUMBER(Raw_HR_Data!I86))),"Check Source Data",IF(Raw_HR_Data!J86=Raw_HR_Data!F86+Raw_HR_Data!G86+Raw_HR_Data!H86-Raw_HR_Data!I86,"OK","Net Pay Error"))</x:f>
        <x:v>OK</x:v>
      </x:c>
      <x:c r="J88" s="17" t="str">
        <x:f>IF(Raw_HR_Data!K86="","Missing Bank Status","OK")</x:f>
        <x:v>OK</x:v>
      </x:c>
      <x:c r="K88" s="17" t="str">
        <x:f>IF(Raw_HR_Data!L86="","Missing PAN","OK")</x:f>
        <x:v>OK</x:v>
      </x:c>
      <x:c r="L88" s="17" t="str">
        <x:f>IF(Raw_HR_Data!M86&gt;31,"Invalid Attendance","OK")</x:f>
        <x:v>OK</x:v>
      </x:c>
      <x:c r="M88" s="17" t="str">
        <x:f>IF(OR(Raw_HR_Data!N86&gt;10,Raw_HR_Data!N86&gt;Raw_HR_Data!M86),"Invalid Leave","OK")</x:f>
        <x:v>OK</x:v>
      </x:c>
      <x:c r="N88" s="17" t="str">
        <x:f>IF(OR(Raw_HR_Data!O86="Processed",Raw_HR_Data!O86="Pending",Raw_HR_Data!O86="Hold"),"OK","Invalid Payroll Status")</x:f>
        <x:v>OK</x:v>
      </x:c>
      <x:c r="O88" s="17">
        <x:f>COUNTIF(D88:N88,"&lt;&gt;OK")-COUNTIF(I88,"Check Source Data")+IF(I88="Check Source Data",1,0)</x:f>
        <x:v>0</x:v>
      </x:c>
      <x:c r="P88" s="17" t="str">
        <x:f>IF(O88=0,"Clean","Error Found")</x:f>
        <x:v>Clean</x:v>
      </x:c>
      <x:c r="Q88" s="18" t="str">
        <x:f>IF(P88="Clean","No action needed","Review raw record and update Validated_Data")</x:f>
        <x:v>No action needed</x:v>
      </x:c>
    </x:row>
    <x:row r="89">
      <x:c r="A89" s="15" t="str">
        <x:f>Raw_HR_Data!A87</x:f>
        <x:v>EMP62531</x:v>
      </x:c>
      <x:c r="B89" s="16" t="str">
        <x:f>Raw_HR_Data!B87</x:f>
        <x:v>Ananya Desai</x:v>
      </x:c>
      <x:c r="C89" s="16" t="str">
        <x:f>Raw_HR_Data!C87</x:f>
        <x:v>Payroll Ops</x:v>
      </x:c>
      <x:c r="D89" s="17" t="str">
        <x:f>IF(COUNTIF(Raw_HR_Data!$A$2:$A$221,A89)&gt;1,"Duplicate","OK")</x:f>
        <x:v>OK</x:v>
      </x:c>
      <x:c r="E89" s="17" t="str">
        <x:f>IF(B89="","Missing Name","OK")</x:f>
        <x:v>OK</x:v>
      </x:c>
      <x:c r="F89" s="17" t="str">
        <x:f>IF(Raw_HR_Data!F87="","Missing Salary","OK")</x:f>
        <x:v>OK</x:v>
      </x:c>
      <x:c r="G89" s="17" t="str">
        <x:f>IF(AND(Raw_HR_Data!F87&lt;&gt;"",NOT(ISNUMBER(Raw_HR_Data!F87))),"Invalid Salary Type","OK")</x:f>
        <x:v>OK</x:v>
      </x:c>
      <x:c r="H89" s="17" t="str">
        <x:f>IF(Raw_HR_Data!I87&lt;0,"Invalid Deduction","OK")</x:f>
        <x:v>OK</x:v>
      </x:c>
      <x:c r="I89" s="17" t="str">
        <x:f>IF(OR(NOT(ISNUMBER(Raw_HR_Data!F87)),NOT(ISNUMBER(Raw_HR_Data!G87)),NOT(ISNUMBER(Raw_HR_Data!H87)),NOT(ISNUMBER(Raw_HR_Data!I87))),"Check Source Data",IF(Raw_HR_Data!J87=Raw_HR_Data!F87+Raw_HR_Data!G87+Raw_HR_Data!H87-Raw_HR_Data!I87,"OK","Net Pay Error"))</x:f>
        <x:v>OK</x:v>
      </x:c>
      <x:c r="J89" s="17" t="str">
        <x:f>IF(Raw_HR_Data!K87="","Missing Bank Status","OK")</x:f>
        <x:v>OK</x:v>
      </x:c>
      <x:c r="K89" s="17" t="str">
        <x:f>IF(Raw_HR_Data!L87="","Missing PAN","OK")</x:f>
        <x:v>OK</x:v>
      </x:c>
      <x:c r="L89" s="17" t="str">
        <x:f>IF(Raw_HR_Data!M87&gt;31,"Invalid Attendance","OK")</x:f>
        <x:v>OK</x:v>
      </x:c>
      <x:c r="M89" s="17" t="str">
        <x:f>IF(OR(Raw_HR_Data!N87&gt;10,Raw_HR_Data!N87&gt;Raw_HR_Data!M87),"Invalid Leave","OK")</x:f>
        <x:v>OK</x:v>
      </x:c>
      <x:c r="N89" s="17" t="str">
        <x:f>IF(OR(Raw_HR_Data!O87="Processed",Raw_HR_Data!O87="Pending",Raw_HR_Data!O87="Hold"),"OK","Invalid Payroll Status")</x:f>
        <x:v>OK</x:v>
      </x:c>
      <x:c r="O89" s="17">
        <x:f>COUNTIF(D89:N89,"&lt;&gt;OK")-COUNTIF(I89,"Check Source Data")+IF(I89="Check Source Data",1,0)</x:f>
        <x:v>0</x:v>
      </x:c>
      <x:c r="P89" s="17" t="str">
        <x:f>IF(O89=0,"Clean","Error Found")</x:f>
        <x:v>Clean</x:v>
      </x:c>
      <x:c r="Q89" s="18" t="str">
        <x:f>IF(P89="Clean","No action needed","Review raw record and update Validated_Data")</x:f>
        <x:v>No action needed</x:v>
      </x:c>
    </x:row>
    <x:row r="90">
      <x:c r="A90" s="15" t="str">
        <x:f>Raw_HR_Data!A88</x:f>
        <x:v>EMP30392</x:v>
      </x:c>
      <x:c r="B90" s="16" t="str">
        <x:f>Raw_HR_Data!B88</x:f>
        <x:v>Ethan Singh</x:v>
      </x:c>
      <x:c r="C90" s="16" t="str">
        <x:f>Raw_HR_Data!C88</x:f>
        <x:v>Consulting Ops</x:v>
      </x:c>
      <x:c r="D90" s="17" t="str">
        <x:f>IF(COUNTIF(Raw_HR_Data!$A$2:$A$221,A90)&gt;1,"Duplicate","OK")</x:f>
        <x:v>OK</x:v>
      </x:c>
      <x:c r="E90" s="17" t="str">
        <x:f>IF(B90="","Missing Name","OK")</x:f>
        <x:v>OK</x:v>
      </x:c>
      <x:c r="F90" s="17" t="str">
        <x:f>IF(Raw_HR_Data!F88="","Missing Salary","OK")</x:f>
        <x:v>OK</x:v>
      </x:c>
      <x:c r="G90" s="17" t="str">
        <x:f>IF(AND(Raw_HR_Data!F88&lt;&gt;"",NOT(ISNUMBER(Raw_HR_Data!F88))),"Invalid Salary Type","OK")</x:f>
        <x:v>OK</x:v>
      </x:c>
      <x:c r="H90" s="17" t="str">
        <x:f>IF(Raw_HR_Data!I88&lt;0,"Invalid Deduction","OK")</x:f>
        <x:v>OK</x:v>
      </x:c>
      <x:c r="I90" s="17" t="str">
        <x:f>IF(OR(NOT(ISNUMBER(Raw_HR_Data!F88)),NOT(ISNUMBER(Raw_HR_Data!G88)),NOT(ISNUMBER(Raw_HR_Data!H88)),NOT(ISNUMBER(Raw_HR_Data!I88))),"Check Source Data",IF(Raw_HR_Data!J88=Raw_HR_Data!F88+Raw_HR_Data!G88+Raw_HR_Data!H88-Raw_HR_Data!I88,"OK","Net Pay Error"))</x:f>
        <x:v>OK</x:v>
      </x:c>
      <x:c r="J90" s="17" t="str">
        <x:f>IF(Raw_HR_Data!K88="","Missing Bank Status","OK")</x:f>
        <x:v>OK</x:v>
      </x:c>
      <x:c r="K90" s="17" t="str">
        <x:f>IF(Raw_HR_Data!L88="","Missing PAN","OK")</x:f>
        <x:v>OK</x:v>
      </x:c>
      <x:c r="L90" s="17" t="str">
        <x:f>IF(Raw_HR_Data!M88&gt;31,"Invalid Attendance","OK")</x:f>
        <x:v>OK</x:v>
      </x:c>
      <x:c r="M90" s="17" t="str">
        <x:f>IF(OR(Raw_HR_Data!N88&gt;10,Raw_HR_Data!N88&gt;Raw_HR_Data!M88),"Invalid Leave","OK")</x:f>
        <x:v>OK</x:v>
      </x:c>
      <x:c r="N90" s="17" t="str">
        <x:f>IF(OR(Raw_HR_Data!O88="Processed",Raw_HR_Data!O88="Pending",Raw_HR_Data!O88="Hold"),"OK","Invalid Payroll Status")</x:f>
        <x:v>OK</x:v>
      </x:c>
      <x:c r="O90" s="17">
        <x:f>COUNTIF(D90:N90,"&lt;&gt;OK")-COUNTIF(I90,"Check Source Data")+IF(I90="Check Source Data",1,0)</x:f>
        <x:v>0</x:v>
      </x:c>
      <x:c r="P90" s="17" t="str">
        <x:f>IF(O90=0,"Clean","Error Found")</x:f>
        <x:v>Clean</x:v>
      </x:c>
      <x:c r="Q90" s="18" t="str">
        <x:f>IF(P90="Clean","No action needed","Review raw record and update Validated_Data")</x:f>
        <x:v>No action needed</x:v>
      </x:c>
    </x:row>
    <x:row r="91">
      <x:c r="A91" s="15" t="str">
        <x:f>Raw_HR_Data!A89</x:f>
        <x:v>EMP24918</x:v>
      </x:c>
      <x:c r="B91" s="16" t="str">
        <x:f>Raw_HR_Data!B89</x:f>
        <x:v>Oliver Martin</x:v>
      </x:c>
      <x:c r="C91" s="16" t="str">
        <x:f>Raw_HR_Data!C89</x:f>
        <x:v>HR Shared Services</x:v>
      </x:c>
      <x:c r="D91" s="17" t="str">
        <x:f>IF(COUNTIF(Raw_HR_Data!$A$2:$A$221,A91)&gt;1,"Duplicate","OK")</x:f>
        <x:v>OK</x:v>
      </x:c>
      <x:c r="E91" s="17" t="str">
        <x:f>IF(B91="","Missing Name","OK")</x:f>
        <x:v>OK</x:v>
      </x:c>
      <x:c r="F91" s="17" t="str">
        <x:f>IF(Raw_HR_Data!F89="","Missing Salary","OK")</x:f>
        <x:v>OK</x:v>
      </x:c>
      <x:c r="G91" s="17" t="str">
        <x:f>IF(AND(Raw_HR_Data!F89&lt;&gt;"",NOT(ISNUMBER(Raw_HR_Data!F89))),"Invalid Salary Type","OK")</x:f>
        <x:v>OK</x:v>
      </x:c>
      <x:c r="H91" s="17" t="str">
        <x:f>IF(Raw_HR_Data!I89&lt;0,"Invalid Deduction","OK")</x:f>
        <x:v>OK</x:v>
      </x:c>
      <x:c r="I91" s="17" t="str">
        <x:f>IF(OR(NOT(ISNUMBER(Raw_HR_Data!F89)),NOT(ISNUMBER(Raw_HR_Data!G89)),NOT(ISNUMBER(Raw_HR_Data!H89)),NOT(ISNUMBER(Raw_HR_Data!I89))),"Check Source Data",IF(Raw_HR_Data!J89=Raw_HR_Data!F89+Raw_HR_Data!G89+Raw_HR_Data!H89-Raw_HR_Data!I89,"OK","Net Pay Error"))</x:f>
        <x:v>OK</x:v>
      </x:c>
      <x:c r="J91" s="17" t="str">
        <x:f>IF(Raw_HR_Data!K89="","Missing Bank Status","OK")</x:f>
        <x:v>OK</x:v>
      </x:c>
      <x:c r="K91" s="17" t="str">
        <x:f>IF(Raw_HR_Data!L89="","Missing PAN","OK")</x:f>
        <x:v>OK</x:v>
      </x:c>
      <x:c r="L91" s="17" t="str">
        <x:f>IF(Raw_HR_Data!M89&gt;31,"Invalid Attendance","OK")</x:f>
        <x:v>OK</x:v>
      </x:c>
      <x:c r="M91" s="17" t="str">
        <x:f>IF(OR(Raw_HR_Data!N89&gt;10,Raw_HR_Data!N89&gt;Raw_HR_Data!M89),"Invalid Leave","OK")</x:f>
        <x:v>OK</x:v>
      </x:c>
      <x:c r="N91" s="17" t="str">
        <x:f>IF(OR(Raw_HR_Data!O89="Processed",Raw_HR_Data!O89="Pending",Raw_HR_Data!O89="Hold"),"OK","Invalid Payroll Status")</x:f>
        <x:v>OK</x:v>
      </x:c>
      <x:c r="O91" s="17">
        <x:f>COUNTIF(D91:N91,"&lt;&gt;OK")-COUNTIF(I91,"Check Source Data")+IF(I91="Check Source Data",1,0)</x:f>
        <x:v>0</x:v>
      </x:c>
      <x:c r="P91" s="17" t="str">
        <x:f>IF(O91=0,"Clean","Error Found")</x:f>
        <x:v>Clean</x:v>
      </x:c>
      <x:c r="Q91" s="18" t="str">
        <x:f>IF(P91="Clean","No action needed","Review raw record and update Validated_Data")</x:f>
        <x:v>No action needed</x:v>
      </x:c>
    </x:row>
    <x:row r="92">
      <x:c r="A92" s="15" t="str">
        <x:f>Raw_HR_Data!A90</x:f>
        <x:v>EMP37686</x:v>
      </x:c>
      <x:c r="B92" s="16" t="str">
        <x:f>Raw_HR_Data!B90</x:f>
        <x:v>Divya Singh</x:v>
      </x:c>
      <x:c r="C92" s="16" t="str">
        <x:f>Raw_HR_Data!C90</x:f>
        <x:v>Talent Ops</x:v>
      </x:c>
      <x:c r="D92" s="17" t="str">
        <x:f>IF(COUNTIF(Raw_HR_Data!$A$2:$A$221,A92)&gt;1,"Duplicate","OK")</x:f>
        <x:v>OK</x:v>
      </x:c>
      <x:c r="E92" s="17" t="str">
        <x:f>IF(B92="","Missing Name","OK")</x:f>
        <x:v>OK</x:v>
      </x:c>
      <x:c r="F92" s="17" t="str">
        <x:f>IF(Raw_HR_Data!F90="","Missing Salary","OK")</x:f>
        <x:v>OK</x:v>
      </x:c>
      <x:c r="G92" s="17" t="str">
        <x:f>IF(AND(Raw_HR_Data!F90&lt;&gt;"",NOT(ISNUMBER(Raw_HR_Data!F90))),"Invalid Salary Type","OK")</x:f>
        <x:v>OK</x:v>
      </x:c>
      <x:c r="H92" s="17" t="str">
        <x:f>IF(Raw_HR_Data!I90&lt;0,"Invalid Deduction","OK")</x:f>
        <x:v>OK</x:v>
      </x:c>
      <x:c r="I92" s="17" t="str">
        <x:f>IF(OR(NOT(ISNUMBER(Raw_HR_Data!F90)),NOT(ISNUMBER(Raw_HR_Data!G90)),NOT(ISNUMBER(Raw_HR_Data!H90)),NOT(ISNUMBER(Raw_HR_Data!I90))),"Check Source Data",IF(Raw_HR_Data!J90=Raw_HR_Data!F90+Raw_HR_Data!G90+Raw_HR_Data!H90-Raw_HR_Data!I90,"OK","Net Pay Error"))</x:f>
        <x:v>OK</x:v>
      </x:c>
      <x:c r="J92" s="17" t="str">
        <x:f>IF(Raw_HR_Data!K90="","Missing Bank Status","OK")</x:f>
        <x:v>OK</x:v>
      </x:c>
      <x:c r="K92" s="17" t="str">
        <x:f>IF(Raw_HR_Data!L90="","Missing PAN","OK")</x:f>
        <x:v>OK</x:v>
      </x:c>
      <x:c r="L92" s="17" t="str">
        <x:f>IF(Raw_HR_Data!M90&gt;31,"Invalid Attendance","OK")</x:f>
        <x:v>OK</x:v>
      </x:c>
      <x:c r="M92" s="17" t="str">
        <x:f>IF(OR(Raw_HR_Data!N90&gt;10,Raw_HR_Data!N90&gt;Raw_HR_Data!M90),"Invalid Leave","OK")</x:f>
        <x:v>OK</x:v>
      </x:c>
      <x:c r="N92" s="17" t="str">
        <x:f>IF(OR(Raw_HR_Data!O90="Processed",Raw_HR_Data!O90="Pending",Raw_HR_Data!O90="Hold"),"OK","Invalid Payroll Status")</x:f>
        <x:v>OK</x:v>
      </x:c>
      <x:c r="O92" s="17">
        <x:f>COUNTIF(D92:N92,"&lt;&gt;OK")-COUNTIF(I92,"Check Source Data")+IF(I92="Check Source Data",1,0)</x:f>
        <x:v>0</x:v>
      </x:c>
      <x:c r="P92" s="17" t="str">
        <x:f>IF(O92=0,"Clean","Error Found")</x:f>
        <x:v>Clean</x:v>
      </x:c>
      <x:c r="Q92" s="18" t="str">
        <x:f>IF(P92="Clean","No action needed","Review raw record and update Validated_Data")</x:f>
        <x:v>No action needed</x:v>
      </x:c>
    </x:row>
    <x:row r="93">
      <x:c r="A93" s="15" t="str">
        <x:f>Raw_HR_Data!A91</x:f>
        <x:v>EMP83233</x:v>
      </x:c>
      <x:c r="B93" s="16" t="str">
        <x:f>Raw_HR_Data!B91</x:f>
        <x:v>Oliver Brown</x:v>
      </x:c>
      <x:c r="C93" s="16" t="str">
        <x:f>Raw_HR_Data!C91</x:f>
        <x:v>Risk Advisory</x:v>
      </x:c>
      <x:c r="D93" s="17" t="str">
        <x:f>IF(COUNTIF(Raw_HR_Data!$A$2:$A$221,A93)&gt;1,"Duplicate","OK")</x:f>
        <x:v>OK</x:v>
      </x:c>
      <x:c r="E93" s="17" t="str">
        <x:f>IF(B93="","Missing Name","OK")</x:f>
        <x:v>OK</x:v>
      </x:c>
      <x:c r="F93" s="17" t="str">
        <x:f>IF(Raw_HR_Data!F91="","Missing Salary","OK")</x:f>
        <x:v>OK</x:v>
      </x:c>
      <x:c r="G93" s="17" t="str">
        <x:f>IF(AND(Raw_HR_Data!F91&lt;&gt;"",NOT(ISNUMBER(Raw_HR_Data!F91))),"Invalid Salary Type","OK")</x:f>
        <x:v>OK</x:v>
      </x:c>
      <x:c r="H93" s="17" t="str">
        <x:f>IF(Raw_HR_Data!I91&lt;0,"Invalid Deduction","OK")</x:f>
        <x:v>OK</x:v>
      </x:c>
      <x:c r="I93" s="17" t="str">
        <x:f>IF(OR(NOT(ISNUMBER(Raw_HR_Data!F91)),NOT(ISNUMBER(Raw_HR_Data!G91)),NOT(ISNUMBER(Raw_HR_Data!H91)),NOT(ISNUMBER(Raw_HR_Data!I91))),"Check Source Data",IF(Raw_HR_Data!J91=Raw_HR_Data!F91+Raw_HR_Data!G91+Raw_HR_Data!H91-Raw_HR_Data!I91,"OK","Net Pay Error"))</x:f>
        <x:v>Net Pay Error</x:v>
      </x:c>
      <x:c r="J93" s="17" t="str">
        <x:f>IF(Raw_HR_Data!K91="","Missing Bank Status","OK")</x:f>
        <x:v>OK</x:v>
      </x:c>
      <x:c r="K93" s="17" t="str">
        <x:f>IF(Raw_HR_Data!L91="","Missing PAN","OK")</x:f>
        <x:v>OK</x:v>
      </x:c>
      <x:c r="L93" s="17" t="str">
        <x:f>IF(Raw_HR_Data!M91&gt;31,"Invalid Attendance","OK")</x:f>
        <x:v>OK</x:v>
      </x:c>
      <x:c r="M93" s="17" t="str">
        <x:f>IF(OR(Raw_HR_Data!N91&gt;10,Raw_HR_Data!N91&gt;Raw_HR_Data!M91),"Invalid Leave","OK")</x:f>
        <x:v>OK</x:v>
      </x:c>
      <x:c r="N93" s="17" t="str">
        <x:f>IF(OR(Raw_HR_Data!O91="Processed",Raw_HR_Data!O91="Pending",Raw_HR_Data!O91="Hold"),"OK","Invalid Payroll Status")</x:f>
        <x:v>OK</x:v>
      </x:c>
      <x:c r="O93" s="17">
        <x:f>COUNTIF(D93:N93,"&lt;&gt;OK")-COUNTIF(I93,"Check Source Data")+IF(I93="Check Source Data",1,0)</x:f>
        <x:v>1</x:v>
      </x:c>
      <x:c r="P93" s="17" t="str">
        <x:f>IF(O93=0,"Clean","Error Found")</x:f>
        <x:v>Error Found</x:v>
      </x:c>
      <x:c r="Q93" s="18" t="str">
        <x:f>IF(P93="Clean","No action needed","Review raw record and update Validated_Data")</x:f>
        <x:v>Review raw record and update Validated_Data</x:v>
      </x:c>
    </x:row>
    <x:row r="94">
      <x:c r="A94" s="15" t="str">
        <x:f>Raw_HR_Data!A92</x:f>
        <x:v>EMP52568</x:v>
      </x:c>
      <x:c r="B94" s="16" t="str">
        <x:f>Raw_HR_Data!B92</x:f>
        <x:v>Ethan Taylor</x:v>
      </x:c>
      <x:c r="C94" s="16" t="str">
        <x:f>Raw_HR_Data!C92</x:f>
        <x:v>Consulting Ops</x:v>
      </x:c>
      <x:c r="D94" s="17" t="str">
        <x:f>IF(COUNTIF(Raw_HR_Data!$A$2:$A$221,A94)&gt;1,"Duplicate","OK")</x:f>
        <x:v>OK</x:v>
      </x:c>
      <x:c r="E94" s="17" t="str">
        <x:f>IF(B94="","Missing Name","OK")</x:f>
        <x:v>OK</x:v>
      </x:c>
      <x:c r="F94" s="17" t="str">
        <x:f>IF(Raw_HR_Data!F92="","Missing Salary","OK")</x:f>
        <x:v>OK</x:v>
      </x:c>
      <x:c r="G94" s="17" t="str">
        <x:f>IF(AND(Raw_HR_Data!F92&lt;&gt;"",NOT(ISNUMBER(Raw_HR_Data!F92))),"Invalid Salary Type","OK")</x:f>
        <x:v>OK</x:v>
      </x:c>
      <x:c r="H94" s="17" t="str">
        <x:f>IF(Raw_HR_Data!I92&lt;0,"Invalid Deduction","OK")</x:f>
        <x:v>OK</x:v>
      </x:c>
      <x:c r="I94" s="17" t="str">
        <x:f>IF(OR(NOT(ISNUMBER(Raw_HR_Data!F92)),NOT(ISNUMBER(Raw_HR_Data!G92)),NOT(ISNUMBER(Raw_HR_Data!H92)),NOT(ISNUMBER(Raw_HR_Data!I92))),"Check Source Data",IF(Raw_HR_Data!J92=Raw_HR_Data!F92+Raw_HR_Data!G92+Raw_HR_Data!H92-Raw_HR_Data!I92,"OK","Net Pay Error"))</x:f>
        <x:v>OK</x:v>
      </x:c>
      <x:c r="J94" s="17" t="str">
        <x:f>IF(Raw_HR_Data!K92="","Missing Bank Status","OK")</x:f>
        <x:v>OK</x:v>
      </x:c>
      <x:c r="K94" s="17" t="str">
        <x:f>IF(Raw_HR_Data!L92="","Missing PAN","OK")</x:f>
        <x:v>OK</x:v>
      </x:c>
      <x:c r="L94" s="17" t="str">
        <x:f>IF(Raw_HR_Data!M92&gt;31,"Invalid Attendance","OK")</x:f>
        <x:v>OK</x:v>
      </x:c>
      <x:c r="M94" s="17" t="str">
        <x:f>IF(OR(Raw_HR_Data!N92&gt;10,Raw_HR_Data!N92&gt;Raw_HR_Data!M92),"Invalid Leave","OK")</x:f>
        <x:v>OK</x:v>
      </x:c>
      <x:c r="N94" s="17" t="str">
        <x:f>IF(OR(Raw_HR_Data!O92="Processed",Raw_HR_Data!O92="Pending",Raw_HR_Data!O92="Hold"),"OK","Invalid Payroll Status")</x:f>
        <x:v>OK</x:v>
      </x:c>
      <x:c r="O94" s="17">
        <x:f>COUNTIF(D94:N94,"&lt;&gt;OK")-COUNTIF(I94,"Check Source Data")+IF(I94="Check Source Data",1,0)</x:f>
        <x:v>0</x:v>
      </x:c>
      <x:c r="P94" s="17" t="str">
        <x:f>IF(O94=0,"Clean","Error Found")</x:f>
        <x:v>Clean</x:v>
      </x:c>
      <x:c r="Q94" s="18" t="str">
        <x:f>IF(P94="Clean","No action needed","Review raw record and update Validated_Data")</x:f>
        <x:v>No action needed</x:v>
      </x:c>
    </x:row>
    <x:row r="95">
      <x:c r="A95" s="15" t="str">
        <x:f>Raw_HR_Data!A93</x:f>
        <x:v>EMP50668</x:v>
      </x:c>
      <x:c r="B95" s="16" t="str">
        <x:f>Raw_HR_Data!B93</x:f>
        <x:v>Noah Iyer</x:v>
      </x:c>
      <x:c r="C95" s="16" t="str">
        <x:f>Raw_HR_Data!C93</x:f>
        <x:v>IT Support</x:v>
      </x:c>
      <x:c r="D95" s="17" t="str">
        <x:f>IF(COUNTIF(Raw_HR_Data!$A$2:$A$221,A95)&gt;1,"Duplicate","OK")</x:f>
        <x:v>OK</x:v>
      </x:c>
      <x:c r="E95" s="17" t="str">
        <x:f>IF(B95="","Missing Name","OK")</x:f>
        <x:v>OK</x:v>
      </x:c>
      <x:c r="F95" s="17" t="str">
        <x:f>IF(Raw_HR_Data!F93="","Missing Salary","OK")</x:f>
        <x:v>OK</x:v>
      </x:c>
      <x:c r="G95" s="17" t="str">
        <x:f>IF(AND(Raw_HR_Data!F93&lt;&gt;"",NOT(ISNUMBER(Raw_HR_Data!F93))),"Invalid Salary Type","OK")</x:f>
        <x:v>OK</x:v>
      </x:c>
      <x:c r="H95" s="17" t="str">
        <x:f>IF(Raw_HR_Data!I93&lt;0,"Invalid Deduction","OK")</x:f>
        <x:v>OK</x:v>
      </x:c>
      <x:c r="I95" s="17" t="str">
        <x:f>IF(OR(NOT(ISNUMBER(Raw_HR_Data!F93)),NOT(ISNUMBER(Raw_HR_Data!G93)),NOT(ISNUMBER(Raw_HR_Data!H93)),NOT(ISNUMBER(Raw_HR_Data!I93))),"Check Source Data",IF(Raw_HR_Data!J93=Raw_HR_Data!F93+Raw_HR_Data!G93+Raw_HR_Data!H93-Raw_HR_Data!I93,"OK","Net Pay Error"))</x:f>
        <x:v>OK</x:v>
      </x:c>
      <x:c r="J95" s="17" t="str">
        <x:f>IF(Raw_HR_Data!K93="","Missing Bank Status","OK")</x:f>
        <x:v>OK</x:v>
      </x:c>
      <x:c r="K95" s="17" t="str">
        <x:f>IF(Raw_HR_Data!L93="","Missing PAN","OK")</x:f>
        <x:v>OK</x:v>
      </x:c>
      <x:c r="L95" s="17" t="str">
        <x:f>IF(Raw_HR_Data!M93&gt;31,"Invalid Attendance","OK")</x:f>
        <x:v>OK</x:v>
      </x:c>
      <x:c r="M95" s="17" t="str">
        <x:f>IF(OR(Raw_HR_Data!N93&gt;10,Raw_HR_Data!N93&gt;Raw_HR_Data!M93),"Invalid Leave","OK")</x:f>
        <x:v>OK</x:v>
      </x:c>
      <x:c r="N95" s="17" t="str">
        <x:f>IF(OR(Raw_HR_Data!O93="Processed",Raw_HR_Data!O93="Pending",Raw_HR_Data!O93="Hold"),"OK","Invalid Payroll Status")</x:f>
        <x:v>OK</x:v>
      </x:c>
      <x:c r="O95" s="17">
        <x:f>COUNTIF(D95:N95,"&lt;&gt;OK")-COUNTIF(I95,"Check Source Data")+IF(I95="Check Source Data",1,0)</x:f>
        <x:v>0</x:v>
      </x:c>
      <x:c r="P95" s="17" t="str">
        <x:f>IF(O95=0,"Clean","Error Found")</x:f>
        <x:v>Clean</x:v>
      </x:c>
      <x:c r="Q95" s="18" t="str">
        <x:f>IF(P95="Clean","No action needed","Review raw record and update Validated_Data")</x:f>
        <x:v>No action needed</x:v>
      </x:c>
    </x:row>
    <x:row r="96">
      <x:c r="A96" s="15" t="str">
        <x:f>Raw_HR_Data!A94</x:f>
        <x:v>EMP40968</x:v>
      </x:c>
      <x:c r="B96" s="16" t="str">
        <x:f>Raw_HR_Data!B94</x:f>
        <x:v>David Desai</x:v>
      </x:c>
      <x:c r="C96" s="16" t="str">
        <x:f>Raw_HR_Data!C94</x:f>
        <x:v>Talent Ops</x:v>
      </x:c>
      <x:c r="D96" s="17" t="str">
        <x:f>IF(COUNTIF(Raw_HR_Data!$A$2:$A$221,A96)&gt;1,"Duplicate","OK")</x:f>
        <x:v>OK</x:v>
      </x:c>
      <x:c r="E96" s="17" t="str">
        <x:f>IF(B96="","Missing Name","OK")</x:f>
        <x:v>OK</x:v>
      </x:c>
      <x:c r="F96" s="17" t="str">
        <x:f>IF(Raw_HR_Data!F94="","Missing Salary","OK")</x:f>
        <x:v>OK</x:v>
      </x:c>
      <x:c r="G96" s="17" t="str">
        <x:f>IF(AND(Raw_HR_Data!F94&lt;&gt;"",NOT(ISNUMBER(Raw_HR_Data!F94))),"Invalid Salary Type","OK")</x:f>
        <x:v>OK</x:v>
      </x:c>
      <x:c r="H96" s="17" t="str">
        <x:f>IF(Raw_HR_Data!I94&lt;0,"Invalid Deduction","OK")</x:f>
        <x:v>OK</x:v>
      </x:c>
      <x:c r="I96" s="17" t="str">
        <x:f>IF(OR(NOT(ISNUMBER(Raw_HR_Data!F94)),NOT(ISNUMBER(Raw_HR_Data!G94)),NOT(ISNUMBER(Raw_HR_Data!H94)),NOT(ISNUMBER(Raw_HR_Data!I94))),"Check Source Data",IF(Raw_HR_Data!J94=Raw_HR_Data!F94+Raw_HR_Data!G94+Raw_HR_Data!H94-Raw_HR_Data!I94,"OK","Net Pay Error"))</x:f>
        <x:v>OK</x:v>
      </x:c>
      <x:c r="J96" s="17" t="str">
        <x:f>IF(Raw_HR_Data!K94="","Missing Bank Status","OK")</x:f>
        <x:v>OK</x:v>
      </x:c>
      <x:c r="K96" s="17" t="str">
        <x:f>IF(Raw_HR_Data!L94="","Missing PAN","OK")</x:f>
        <x:v>OK</x:v>
      </x:c>
      <x:c r="L96" s="17" t="str">
        <x:f>IF(Raw_HR_Data!M94&gt;31,"Invalid Attendance","OK")</x:f>
        <x:v>OK</x:v>
      </x:c>
      <x:c r="M96" s="17" t="str">
        <x:f>IF(OR(Raw_HR_Data!N94&gt;10,Raw_HR_Data!N94&gt;Raw_HR_Data!M94),"Invalid Leave","OK")</x:f>
        <x:v>OK</x:v>
      </x:c>
      <x:c r="N96" s="17" t="str">
        <x:f>IF(OR(Raw_HR_Data!O94="Processed",Raw_HR_Data!O94="Pending",Raw_HR_Data!O94="Hold"),"OK","Invalid Payroll Status")</x:f>
        <x:v>OK</x:v>
      </x:c>
      <x:c r="O96" s="17">
        <x:f>COUNTIF(D96:N96,"&lt;&gt;OK")-COUNTIF(I96,"Check Source Data")+IF(I96="Check Source Data",1,0)</x:f>
        <x:v>0</x:v>
      </x:c>
      <x:c r="P96" s="17" t="str">
        <x:f>IF(O96=0,"Clean","Error Found")</x:f>
        <x:v>Clean</x:v>
      </x:c>
      <x:c r="Q96" s="18" t="str">
        <x:f>IF(P96="Clean","No action needed","Review raw record and update Validated_Data")</x:f>
        <x:v>No action needed</x:v>
      </x:c>
    </x:row>
    <x:row r="97">
      <x:c r="A97" s="15" t="str">
        <x:f>Raw_HR_Data!A95</x:f>
        <x:v>EMP85952</x:v>
      </x:c>
      <x:c r="B97" s="16" t="str">
        <x:f>Raw_HR_Data!B95</x:f>
        <x:v>Sophie Reddy</x:v>
      </x:c>
      <x:c r="C97" s="16" t="str">
        <x:f>Raw_HR_Data!C95</x:f>
        <x:v>Consulting Ops</x:v>
      </x:c>
      <x:c r="D97" s="17" t="str">
        <x:f>IF(COUNTIF(Raw_HR_Data!$A$2:$A$221,A97)&gt;1,"Duplicate","OK")</x:f>
        <x:v>OK</x:v>
      </x:c>
      <x:c r="E97" s="17" t="str">
        <x:f>IF(B97="","Missing Name","OK")</x:f>
        <x:v>OK</x:v>
      </x:c>
      <x:c r="F97" s="17" t="str">
        <x:f>IF(Raw_HR_Data!F95="","Missing Salary","OK")</x:f>
        <x:v>OK</x:v>
      </x:c>
      <x:c r="G97" s="17" t="str">
        <x:f>IF(AND(Raw_HR_Data!F95&lt;&gt;"",NOT(ISNUMBER(Raw_HR_Data!F95))),"Invalid Salary Type","OK")</x:f>
        <x:v>OK</x:v>
      </x:c>
      <x:c r="H97" s="17" t="str">
        <x:f>IF(Raw_HR_Data!I95&lt;0,"Invalid Deduction","OK")</x:f>
        <x:v>OK</x:v>
      </x:c>
      <x:c r="I97" s="17" t="str">
        <x:f>IF(OR(NOT(ISNUMBER(Raw_HR_Data!F95)),NOT(ISNUMBER(Raw_HR_Data!G95)),NOT(ISNUMBER(Raw_HR_Data!H95)),NOT(ISNUMBER(Raw_HR_Data!I95))),"Check Source Data",IF(Raw_HR_Data!J95=Raw_HR_Data!F95+Raw_HR_Data!G95+Raw_HR_Data!H95-Raw_HR_Data!I95,"OK","Net Pay Error"))</x:f>
        <x:v>OK</x:v>
      </x:c>
      <x:c r="J97" s="17" t="str">
        <x:f>IF(Raw_HR_Data!K95="","Missing Bank Status","OK")</x:f>
        <x:v>OK</x:v>
      </x:c>
      <x:c r="K97" s="17" t="str">
        <x:f>IF(Raw_HR_Data!L95="","Missing PAN","OK")</x:f>
        <x:v>OK</x:v>
      </x:c>
      <x:c r="L97" s="17" t="str">
        <x:f>IF(Raw_HR_Data!M95&gt;31,"Invalid Attendance","OK")</x:f>
        <x:v>OK</x:v>
      </x:c>
      <x:c r="M97" s="17" t="str">
        <x:f>IF(OR(Raw_HR_Data!N95&gt;10,Raw_HR_Data!N95&gt;Raw_HR_Data!M95),"Invalid Leave","OK")</x:f>
        <x:v>OK</x:v>
      </x:c>
      <x:c r="N97" s="17" t="str">
        <x:f>IF(OR(Raw_HR_Data!O95="Processed",Raw_HR_Data!O95="Pending",Raw_HR_Data!O95="Hold"),"OK","Invalid Payroll Status")</x:f>
        <x:v>OK</x:v>
      </x:c>
      <x:c r="O97" s="17">
        <x:f>COUNTIF(D97:N97,"&lt;&gt;OK")-COUNTIF(I97,"Check Source Data")+IF(I97="Check Source Data",1,0)</x:f>
        <x:v>0</x:v>
      </x:c>
      <x:c r="P97" s="17" t="str">
        <x:f>IF(O97=0,"Clean","Error Found")</x:f>
        <x:v>Clean</x:v>
      </x:c>
      <x:c r="Q97" s="18" t="str">
        <x:f>IF(P97="Clean","No action needed","Review raw record and update Validated_Data")</x:f>
        <x:v>No action needed</x:v>
      </x:c>
    </x:row>
    <x:row r="98">
      <x:c r="A98" s="15" t="str">
        <x:f>Raw_HR_Data!A96</x:f>
        <x:v>EMP19724</x:v>
      </x:c>
      <x:c r="B98" s="16" t="str">
        <x:f>Raw_HR_Data!B96</x:f>
        <x:v>Meera Mehta</x:v>
      </x:c>
      <x:c r="C98" s="16" t="str">
        <x:f>Raw_HR_Data!C96</x:f>
        <x:v>Audit Support</x:v>
      </x:c>
      <x:c r="D98" s="17" t="str">
        <x:f>IF(COUNTIF(Raw_HR_Data!$A$2:$A$221,A98)&gt;1,"Duplicate","OK")</x:f>
        <x:v>OK</x:v>
      </x:c>
      <x:c r="E98" s="17" t="str">
        <x:f>IF(B98="","Missing Name","OK")</x:f>
        <x:v>OK</x:v>
      </x:c>
      <x:c r="F98" s="17" t="str">
        <x:f>IF(Raw_HR_Data!F96="","Missing Salary","OK")</x:f>
        <x:v>OK</x:v>
      </x:c>
      <x:c r="G98" s="17" t="str">
        <x:f>IF(AND(Raw_HR_Data!F96&lt;&gt;"",NOT(ISNUMBER(Raw_HR_Data!F96))),"Invalid Salary Type","OK")</x:f>
        <x:v>OK</x:v>
      </x:c>
      <x:c r="H98" s="17" t="str">
        <x:f>IF(Raw_HR_Data!I96&lt;0,"Invalid Deduction","OK")</x:f>
        <x:v>OK</x:v>
      </x:c>
      <x:c r="I98" s="17" t="str">
        <x:f>IF(OR(NOT(ISNUMBER(Raw_HR_Data!F96)),NOT(ISNUMBER(Raw_HR_Data!G96)),NOT(ISNUMBER(Raw_HR_Data!H96)),NOT(ISNUMBER(Raw_HR_Data!I96))),"Check Source Data",IF(Raw_HR_Data!J96=Raw_HR_Data!F96+Raw_HR_Data!G96+Raw_HR_Data!H96-Raw_HR_Data!I96,"OK","Net Pay Error"))</x:f>
        <x:v>OK</x:v>
      </x:c>
      <x:c r="J98" s="17" t="str">
        <x:f>IF(Raw_HR_Data!K96="","Missing Bank Status","OK")</x:f>
        <x:v>OK</x:v>
      </x:c>
      <x:c r="K98" s="17" t="str">
        <x:f>IF(Raw_HR_Data!L96="","Missing PAN","OK")</x:f>
        <x:v>OK</x:v>
      </x:c>
      <x:c r="L98" s="17" t="str">
        <x:f>IF(Raw_HR_Data!M96&gt;31,"Invalid Attendance","OK")</x:f>
        <x:v>OK</x:v>
      </x:c>
      <x:c r="M98" s="17" t="str">
        <x:f>IF(OR(Raw_HR_Data!N96&gt;10,Raw_HR_Data!N96&gt;Raw_HR_Data!M96),"Invalid Leave","OK")</x:f>
        <x:v>OK</x:v>
      </x:c>
      <x:c r="N98" s="17" t="str">
        <x:f>IF(OR(Raw_HR_Data!O96="Processed",Raw_HR_Data!O96="Pending",Raw_HR_Data!O96="Hold"),"OK","Invalid Payroll Status")</x:f>
        <x:v>OK</x:v>
      </x:c>
      <x:c r="O98" s="17">
        <x:f>COUNTIF(D98:N98,"&lt;&gt;OK")-COUNTIF(I98,"Check Source Data")+IF(I98="Check Source Data",1,0)</x:f>
        <x:v>0</x:v>
      </x:c>
      <x:c r="P98" s="17" t="str">
        <x:f>IF(O98=0,"Clean","Error Found")</x:f>
        <x:v>Clean</x:v>
      </x:c>
      <x:c r="Q98" s="18" t="str">
        <x:f>IF(P98="Clean","No action needed","Review raw record and update Validated_Data")</x:f>
        <x:v>No action needed</x:v>
      </x:c>
    </x:row>
    <x:row r="99">
      <x:c r="A99" s="15" t="str">
        <x:f>Raw_HR_Data!A97</x:f>
        <x:v>EMP15376</x:v>
      </x:c>
      <x:c r="B99" s="16" t="str">
        <x:f>Raw_HR_Data!B97</x:f>
        <x:v>Sophie White</x:v>
      </x:c>
      <x:c r="C99" s="16" t="str">
        <x:f>Raw_HR_Data!C97</x:f>
        <x:v>Consulting Ops</x:v>
      </x:c>
      <x:c r="D99" s="17" t="str">
        <x:f>IF(COUNTIF(Raw_HR_Data!$A$2:$A$221,A99)&gt;1,"Duplicate","OK")</x:f>
        <x:v>OK</x:v>
      </x:c>
      <x:c r="E99" s="17" t="str">
        <x:f>IF(B99="","Missing Name","OK")</x:f>
        <x:v>OK</x:v>
      </x:c>
      <x:c r="F99" s="17" t="str">
        <x:f>IF(Raw_HR_Data!F97="","Missing Salary","OK")</x:f>
        <x:v>OK</x:v>
      </x:c>
      <x:c r="G99" s="17" t="str">
        <x:f>IF(AND(Raw_HR_Data!F97&lt;&gt;"",NOT(ISNUMBER(Raw_HR_Data!F97))),"Invalid Salary Type","OK")</x:f>
        <x:v>OK</x:v>
      </x:c>
      <x:c r="H99" s="17" t="str">
        <x:f>IF(Raw_HR_Data!I97&lt;0,"Invalid Deduction","OK")</x:f>
        <x:v>OK</x:v>
      </x:c>
      <x:c r="I99" s="17" t="str">
        <x:f>IF(OR(NOT(ISNUMBER(Raw_HR_Data!F97)),NOT(ISNUMBER(Raw_HR_Data!G97)),NOT(ISNUMBER(Raw_HR_Data!H97)),NOT(ISNUMBER(Raw_HR_Data!I97))),"Check Source Data",IF(Raw_HR_Data!J97=Raw_HR_Data!F97+Raw_HR_Data!G97+Raw_HR_Data!H97-Raw_HR_Data!I97,"OK","Net Pay Error"))</x:f>
        <x:v>OK</x:v>
      </x:c>
      <x:c r="J99" s="17" t="str">
        <x:f>IF(Raw_HR_Data!K97="","Missing Bank Status","OK")</x:f>
        <x:v>OK</x:v>
      </x:c>
      <x:c r="K99" s="17" t="str">
        <x:f>IF(Raw_HR_Data!L97="","Missing PAN","OK")</x:f>
        <x:v>OK</x:v>
      </x:c>
      <x:c r="L99" s="17" t="str">
        <x:f>IF(Raw_HR_Data!M97&gt;31,"Invalid Attendance","OK")</x:f>
        <x:v>OK</x:v>
      </x:c>
      <x:c r="M99" s="17" t="str">
        <x:f>IF(OR(Raw_HR_Data!N97&gt;10,Raw_HR_Data!N97&gt;Raw_HR_Data!M97),"Invalid Leave","OK")</x:f>
        <x:v>OK</x:v>
      </x:c>
      <x:c r="N99" s="17" t="str">
        <x:f>IF(OR(Raw_HR_Data!O97="Processed",Raw_HR_Data!O97="Pending",Raw_HR_Data!O97="Hold"),"OK","Invalid Payroll Status")</x:f>
        <x:v>OK</x:v>
      </x:c>
      <x:c r="O99" s="17">
        <x:f>COUNTIF(D99:N99,"&lt;&gt;OK")-COUNTIF(I99,"Check Source Data")+IF(I99="Check Source Data",1,0)</x:f>
        <x:v>0</x:v>
      </x:c>
      <x:c r="P99" s="17" t="str">
        <x:f>IF(O99=0,"Clean","Error Found")</x:f>
        <x:v>Clean</x:v>
      </x:c>
      <x:c r="Q99" s="18" t="str">
        <x:f>IF(P99="Clean","No action needed","Review raw record and update Validated_Data")</x:f>
        <x:v>No action needed</x:v>
      </x:c>
    </x:row>
    <x:row r="100">
      <x:c r="A100" s="15" t="str">
        <x:f>Raw_HR_Data!A98</x:f>
        <x:v>EMP32617</x:v>
      </x:c>
      <x:c r="B100" s="16" t="str">
        <x:f>Raw_HR_Data!B98</x:f>
        <x:v>Akash Iyer</x:v>
      </x:c>
      <x:c r="C100" s="16" t="str">
        <x:f>Raw_HR_Data!C98</x:f>
        <x:v>Audit Support</x:v>
      </x:c>
      <x:c r="D100" s="17" t="str">
        <x:f>IF(COUNTIF(Raw_HR_Data!$A$2:$A$221,A100)&gt;1,"Duplicate","OK")</x:f>
        <x:v>OK</x:v>
      </x:c>
      <x:c r="E100" s="17" t="str">
        <x:f>IF(B100="","Missing Name","OK")</x:f>
        <x:v>OK</x:v>
      </x:c>
      <x:c r="F100" s="17" t="str">
        <x:f>IF(Raw_HR_Data!F98="","Missing Salary","OK")</x:f>
        <x:v>OK</x:v>
      </x:c>
      <x:c r="G100" s="17" t="str">
        <x:f>IF(AND(Raw_HR_Data!F98&lt;&gt;"",NOT(ISNUMBER(Raw_HR_Data!F98))),"Invalid Salary Type","OK")</x:f>
        <x:v>OK</x:v>
      </x:c>
      <x:c r="H100" s="17" t="str">
        <x:f>IF(Raw_HR_Data!I98&lt;0,"Invalid Deduction","OK")</x:f>
        <x:v>OK</x:v>
      </x:c>
      <x:c r="I100" s="17" t="str">
        <x:f>IF(OR(NOT(ISNUMBER(Raw_HR_Data!F98)),NOT(ISNUMBER(Raw_HR_Data!G98)),NOT(ISNUMBER(Raw_HR_Data!H98)),NOT(ISNUMBER(Raw_HR_Data!I98))),"Check Source Data",IF(Raw_HR_Data!J98=Raw_HR_Data!F98+Raw_HR_Data!G98+Raw_HR_Data!H98-Raw_HR_Data!I98,"OK","Net Pay Error"))</x:f>
        <x:v>OK</x:v>
      </x:c>
      <x:c r="J100" s="17" t="str">
        <x:f>IF(Raw_HR_Data!K98="","Missing Bank Status","OK")</x:f>
        <x:v>OK</x:v>
      </x:c>
      <x:c r="K100" s="17" t="str">
        <x:f>IF(Raw_HR_Data!L98="","Missing PAN","OK")</x:f>
        <x:v>OK</x:v>
      </x:c>
      <x:c r="L100" s="17" t="str">
        <x:f>IF(Raw_HR_Data!M98&gt;31,"Invalid Attendance","OK")</x:f>
        <x:v>OK</x:v>
      </x:c>
      <x:c r="M100" s="17" t="str">
        <x:f>IF(OR(Raw_HR_Data!N98&gt;10,Raw_HR_Data!N98&gt;Raw_HR_Data!M98),"Invalid Leave","OK")</x:f>
        <x:v>OK</x:v>
      </x:c>
      <x:c r="N100" s="17" t="str">
        <x:f>IF(OR(Raw_HR_Data!O98="Processed",Raw_HR_Data!O98="Pending",Raw_HR_Data!O98="Hold"),"OK","Invalid Payroll Status")</x:f>
        <x:v>OK</x:v>
      </x:c>
      <x:c r="O100" s="17">
        <x:f>COUNTIF(D100:N100,"&lt;&gt;OK")-COUNTIF(I100,"Check Source Data")+IF(I100="Check Source Data",1,0)</x:f>
        <x:v>0</x:v>
      </x:c>
      <x:c r="P100" s="17" t="str">
        <x:f>IF(O100=0,"Clean","Error Found")</x:f>
        <x:v>Clean</x:v>
      </x:c>
      <x:c r="Q100" s="18" t="str">
        <x:f>IF(P100="Clean","No action needed","Review raw record and update Validated_Data")</x:f>
        <x:v>No action needed</x:v>
      </x:c>
    </x:row>
    <x:row r="101">
      <x:c r="A101" s="15" t="str">
        <x:f>Raw_HR_Data!A99</x:f>
        <x:v>EMP22387</x:v>
      </x:c>
      <x:c r="B101" s="16" t="str">
        <x:f>Raw_HR_Data!B99</x:f>
        <x:v>Priya Johnson</x:v>
      </x:c>
      <x:c r="C101" s="16" t="str">
        <x:f>Raw_HR_Data!C99</x:f>
        <x:v>Talent Ops</x:v>
      </x:c>
      <x:c r="D101" s="17" t="str">
        <x:f>IF(COUNTIF(Raw_HR_Data!$A$2:$A$221,A101)&gt;1,"Duplicate","OK")</x:f>
        <x:v>OK</x:v>
      </x:c>
      <x:c r="E101" s="17" t="str">
        <x:f>IF(B101="","Missing Name","OK")</x:f>
        <x:v>OK</x:v>
      </x:c>
      <x:c r="F101" s="17" t="str">
        <x:f>IF(Raw_HR_Data!F99="","Missing Salary","OK")</x:f>
        <x:v>OK</x:v>
      </x:c>
      <x:c r="G101" s="17" t="str">
        <x:f>IF(AND(Raw_HR_Data!F99&lt;&gt;"",NOT(ISNUMBER(Raw_HR_Data!F99))),"Invalid Salary Type","OK")</x:f>
        <x:v>OK</x:v>
      </x:c>
      <x:c r="H101" s="17" t="str">
        <x:f>IF(Raw_HR_Data!I99&lt;0,"Invalid Deduction","OK")</x:f>
        <x:v>OK</x:v>
      </x:c>
      <x:c r="I101" s="17" t="str">
        <x:f>IF(OR(NOT(ISNUMBER(Raw_HR_Data!F99)),NOT(ISNUMBER(Raw_HR_Data!G99)),NOT(ISNUMBER(Raw_HR_Data!H99)),NOT(ISNUMBER(Raw_HR_Data!I99))),"Check Source Data",IF(Raw_HR_Data!J99=Raw_HR_Data!F99+Raw_HR_Data!G99+Raw_HR_Data!H99-Raw_HR_Data!I99,"OK","Net Pay Error"))</x:f>
        <x:v>OK</x:v>
      </x:c>
      <x:c r="J101" s="17" t="str">
        <x:f>IF(Raw_HR_Data!K99="","Missing Bank Status","OK")</x:f>
        <x:v>OK</x:v>
      </x:c>
      <x:c r="K101" s="17" t="str">
        <x:f>IF(Raw_HR_Data!L99="","Missing PAN","OK")</x:f>
        <x:v>OK</x:v>
      </x:c>
      <x:c r="L101" s="17" t="str">
        <x:f>IF(Raw_HR_Data!M99&gt;31,"Invalid Attendance","OK")</x:f>
        <x:v>OK</x:v>
      </x:c>
      <x:c r="M101" s="17" t="str">
        <x:f>IF(OR(Raw_HR_Data!N99&gt;10,Raw_HR_Data!N99&gt;Raw_HR_Data!M99),"Invalid Leave","OK")</x:f>
        <x:v>OK</x:v>
      </x:c>
      <x:c r="N101" s="17" t="str">
        <x:f>IF(OR(Raw_HR_Data!O99="Processed",Raw_HR_Data!O99="Pending",Raw_HR_Data!O99="Hold"),"OK","Invalid Payroll Status")</x:f>
        <x:v>OK</x:v>
      </x:c>
      <x:c r="O101" s="17">
        <x:f>COUNTIF(D101:N101,"&lt;&gt;OK")-COUNTIF(I101,"Check Source Data")+IF(I101="Check Source Data",1,0)</x:f>
        <x:v>0</x:v>
      </x:c>
      <x:c r="P101" s="17" t="str">
        <x:f>IF(O101=0,"Clean","Error Found")</x:f>
        <x:v>Clean</x:v>
      </x:c>
      <x:c r="Q101" s="18" t="str">
        <x:f>IF(P101="Clean","No action needed","Review raw record and update Validated_Data")</x:f>
        <x:v>No action needed</x:v>
      </x:c>
    </x:row>
    <x:row r="102">
      <x:c r="A102" s="15" t="str">
        <x:f>Raw_HR_Data!A100</x:f>
        <x:v>EMP59372</x:v>
      </x:c>
      <x:c r="B102" s="16" t="str">
        <x:f>Raw_HR_Data!B100</x:f>
        <x:v>Noah Thomas</x:v>
      </x:c>
      <x:c r="C102" s="16" t="str">
        <x:f>Raw_HR_Data!C100</x:f>
        <x:v>Finance Ops</x:v>
      </x:c>
      <x:c r="D102" s="17" t="str">
        <x:f>IF(COUNTIF(Raw_HR_Data!$A$2:$A$221,A102)&gt;1,"Duplicate","OK")</x:f>
        <x:v>OK</x:v>
      </x:c>
      <x:c r="E102" s="17" t="str">
        <x:f>IF(B102="","Missing Name","OK")</x:f>
        <x:v>OK</x:v>
      </x:c>
      <x:c r="F102" s="17" t="str">
        <x:f>IF(Raw_HR_Data!F100="","Missing Salary","OK")</x:f>
        <x:v>OK</x:v>
      </x:c>
      <x:c r="G102" s="17" t="str">
        <x:f>IF(AND(Raw_HR_Data!F100&lt;&gt;"",NOT(ISNUMBER(Raw_HR_Data!F100))),"Invalid Salary Type","OK")</x:f>
        <x:v>OK</x:v>
      </x:c>
      <x:c r="H102" s="17" t="str">
        <x:f>IF(Raw_HR_Data!I100&lt;0,"Invalid Deduction","OK")</x:f>
        <x:v>OK</x:v>
      </x:c>
      <x:c r="I102" s="17" t="str">
        <x:f>IF(OR(NOT(ISNUMBER(Raw_HR_Data!F100)),NOT(ISNUMBER(Raw_HR_Data!G100)),NOT(ISNUMBER(Raw_HR_Data!H100)),NOT(ISNUMBER(Raw_HR_Data!I100))),"Check Source Data",IF(Raw_HR_Data!J100=Raw_HR_Data!F100+Raw_HR_Data!G100+Raw_HR_Data!H100-Raw_HR_Data!I100,"OK","Net Pay Error"))</x:f>
        <x:v>OK</x:v>
      </x:c>
      <x:c r="J102" s="17" t="str">
        <x:f>IF(Raw_HR_Data!K100="","Missing Bank Status","OK")</x:f>
        <x:v>OK</x:v>
      </x:c>
      <x:c r="K102" s="17" t="str">
        <x:f>IF(Raw_HR_Data!L100="","Missing PAN","OK")</x:f>
        <x:v>OK</x:v>
      </x:c>
      <x:c r="L102" s="17" t="str">
        <x:f>IF(Raw_HR_Data!M100&gt;31,"Invalid Attendance","OK")</x:f>
        <x:v>OK</x:v>
      </x:c>
      <x:c r="M102" s="17" t="str">
        <x:f>IF(OR(Raw_HR_Data!N100&gt;10,Raw_HR_Data!N100&gt;Raw_HR_Data!M100),"Invalid Leave","OK")</x:f>
        <x:v>OK</x:v>
      </x:c>
      <x:c r="N102" s="17" t="str">
        <x:f>IF(OR(Raw_HR_Data!O100="Processed",Raw_HR_Data!O100="Pending",Raw_HR_Data!O100="Hold"),"OK","Invalid Payroll Status")</x:f>
        <x:v>OK</x:v>
      </x:c>
      <x:c r="O102" s="17">
        <x:f>COUNTIF(D102:N102,"&lt;&gt;OK")-COUNTIF(I102,"Check Source Data")+IF(I102="Check Source Data",1,0)</x:f>
        <x:v>0</x:v>
      </x:c>
      <x:c r="P102" s="17" t="str">
        <x:f>IF(O102=0,"Clean","Error Found")</x:f>
        <x:v>Clean</x:v>
      </x:c>
      <x:c r="Q102" s="18" t="str">
        <x:f>IF(P102="Clean","No action needed","Review raw record and update Validated_Data")</x:f>
        <x:v>No action needed</x:v>
      </x:c>
    </x:row>
    <x:row r="103">
      <x:c r="A103" s="15" t="str">
        <x:f>Raw_HR_Data!A101</x:f>
        <x:v>EMP28030</x:v>
      </x:c>
      <x:c r="B103" s="16" t="str">
        <x:f>Raw_HR_Data!B101</x:f>
        <x:v>Emma Brown</x:v>
      </x:c>
      <x:c r="C103" s="16" t="str">
        <x:f>Raw_HR_Data!C101</x:f>
        <x:v>Talent Ops</x:v>
      </x:c>
      <x:c r="D103" s="17" t="str">
        <x:f>IF(COUNTIF(Raw_HR_Data!$A$2:$A$221,A103)&gt;1,"Duplicate","OK")</x:f>
        <x:v>OK</x:v>
      </x:c>
      <x:c r="E103" s="17" t="str">
        <x:f>IF(B103="","Missing Name","OK")</x:f>
        <x:v>OK</x:v>
      </x:c>
      <x:c r="F103" s="17" t="str">
        <x:f>IF(Raw_HR_Data!F101="","Missing Salary","OK")</x:f>
        <x:v>OK</x:v>
      </x:c>
      <x:c r="G103" s="17" t="str">
        <x:f>IF(AND(Raw_HR_Data!F101&lt;&gt;"",NOT(ISNUMBER(Raw_HR_Data!F101))),"Invalid Salary Type","OK")</x:f>
        <x:v>OK</x:v>
      </x:c>
      <x:c r="H103" s="17" t="str">
        <x:f>IF(Raw_HR_Data!I101&lt;0,"Invalid Deduction","OK")</x:f>
        <x:v>OK</x:v>
      </x:c>
      <x:c r="I103" s="17" t="str">
        <x:f>IF(OR(NOT(ISNUMBER(Raw_HR_Data!F101)),NOT(ISNUMBER(Raw_HR_Data!G101)),NOT(ISNUMBER(Raw_HR_Data!H101)),NOT(ISNUMBER(Raw_HR_Data!I101))),"Check Source Data",IF(Raw_HR_Data!J101=Raw_HR_Data!F101+Raw_HR_Data!G101+Raw_HR_Data!H101-Raw_HR_Data!I101,"OK","Net Pay Error"))</x:f>
        <x:v>OK</x:v>
      </x:c>
      <x:c r="J103" s="17" t="str">
        <x:f>IF(Raw_HR_Data!K101="","Missing Bank Status","OK")</x:f>
        <x:v>OK</x:v>
      </x:c>
      <x:c r="K103" s="17" t="str">
        <x:f>IF(Raw_HR_Data!L101="","Missing PAN","OK")</x:f>
        <x:v>OK</x:v>
      </x:c>
      <x:c r="L103" s="17" t="str">
        <x:f>IF(Raw_HR_Data!M101&gt;31,"Invalid Attendance","OK")</x:f>
        <x:v>OK</x:v>
      </x:c>
      <x:c r="M103" s="17" t="str">
        <x:f>IF(OR(Raw_HR_Data!N101&gt;10,Raw_HR_Data!N101&gt;Raw_HR_Data!M101),"Invalid Leave","OK")</x:f>
        <x:v>OK</x:v>
      </x:c>
      <x:c r="N103" s="17" t="str">
        <x:f>IF(OR(Raw_HR_Data!O101="Processed",Raw_HR_Data!O101="Pending",Raw_HR_Data!O101="Hold"),"OK","Invalid Payroll Status")</x:f>
        <x:v>OK</x:v>
      </x:c>
      <x:c r="O103" s="17">
        <x:f>COUNTIF(D103:N103,"&lt;&gt;OK")-COUNTIF(I103,"Check Source Data")+IF(I103="Check Source Data",1,0)</x:f>
        <x:v>0</x:v>
      </x:c>
      <x:c r="P103" s="17" t="str">
        <x:f>IF(O103=0,"Clean","Error Found")</x:f>
        <x:v>Clean</x:v>
      </x:c>
      <x:c r="Q103" s="18" t="str">
        <x:f>IF(P103="Clean","No action needed","Review raw record and update Validated_Data")</x:f>
        <x:v>No action needed</x:v>
      </x:c>
    </x:row>
    <x:row r="104">
      <x:c r="A104" s="15" t="str">
        <x:f>Raw_HR_Data!A102</x:f>
        <x:v>EMP91885</x:v>
      </x:c>
      <x:c r="B104" s="16" t="str">
        <x:f>Raw_HR_Data!B102</x:f>
        <x:v>Ethan Sharma</x:v>
      </x:c>
      <x:c r="C104" s="16" t="str">
        <x:f>Raw_HR_Data!C102</x:f>
        <x:v>Audit Support</x:v>
      </x:c>
      <x:c r="D104" s="17" t="str">
        <x:f>IF(COUNTIF(Raw_HR_Data!$A$2:$A$221,A104)&gt;1,"Duplicate","OK")</x:f>
        <x:v>OK</x:v>
      </x:c>
      <x:c r="E104" s="17" t="str">
        <x:f>IF(B104="","Missing Name","OK")</x:f>
        <x:v>OK</x:v>
      </x:c>
      <x:c r="F104" s="17" t="str">
        <x:f>IF(Raw_HR_Data!F102="","Missing Salary","OK")</x:f>
        <x:v>OK</x:v>
      </x:c>
      <x:c r="G104" s="17" t="str">
        <x:f>IF(AND(Raw_HR_Data!F102&lt;&gt;"",NOT(ISNUMBER(Raw_HR_Data!F102))),"Invalid Salary Type","OK")</x:f>
        <x:v>OK</x:v>
      </x:c>
      <x:c r="H104" s="17" t="str">
        <x:f>IF(Raw_HR_Data!I102&lt;0,"Invalid Deduction","OK")</x:f>
        <x:v>OK</x:v>
      </x:c>
      <x:c r="I104" s="17" t="str">
        <x:f>IF(OR(NOT(ISNUMBER(Raw_HR_Data!F102)),NOT(ISNUMBER(Raw_HR_Data!G102)),NOT(ISNUMBER(Raw_HR_Data!H102)),NOT(ISNUMBER(Raw_HR_Data!I102))),"Check Source Data",IF(Raw_HR_Data!J102=Raw_HR_Data!F102+Raw_HR_Data!G102+Raw_HR_Data!H102-Raw_HR_Data!I102,"OK","Net Pay Error"))</x:f>
        <x:v>OK</x:v>
      </x:c>
      <x:c r="J104" s="17" t="str">
        <x:f>IF(Raw_HR_Data!K102="","Missing Bank Status","OK")</x:f>
        <x:v>OK</x:v>
      </x:c>
      <x:c r="K104" s="17" t="str">
        <x:f>IF(Raw_HR_Data!L102="","Missing PAN","OK")</x:f>
        <x:v>OK</x:v>
      </x:c>
      <x:c r="L104" s="17" t="str">
        <x:f>IF(Raw_HR_Data!M102&gt;31,"Invalid Attendance","OK")</x:f>
        <x:v>OK</x:v>
      </x:c>
      <x:c r="M104" s="17" t="str">
        <x:f>IF(OR(Raw_HR_Data!N102&gt;10,Raw_HR_Data!N102&gt;Raw_HR_Data!M102),"Invalid Leave","OK")</x:f>
        <x:v>OK</x:v>
      </x:c>
      <x:c r="N104" s="17" t="str">
        <x:f>IF(OR(Raw_HR_Data!O102="Processed",Raw_HR_Data!O102="Pending",Raw_HR_Data!O102="Hold"),"OK","Invalid Payroll Status")</x:f>
        <x:v>OK</x:v>
      </x:c>
      <x:c r="O104" s="17">
        <x:f>COUNTIF(D104:N104,"&lt;&gt;OK")-COUNTIF(I104,"Check Source Data")+IF(I104="Check Source Data",1,0)</x:f>
        <x:v>0</x:v>
      </x:c>
      <x:c r="P104" s="17" t="str">
        <x:f>IF(O104=0,"Clean","Error Found")</x:f>
        <x:v>Clean</x:v>
      </x:c>
      <x:c r="Q104" s="18" t="str">
        <x:f>IF(P104="Clean","No action needed","Review raw record and update Validated_Data")</x:f>
        <x:v>No action needed</x:v>
      </x:c>
    </x:row>
    <x:row r="105">
      <x:c r="A105" s="15" t="str">
        <x:f>Raw_HR_Data!A103</x:f>
        <x:v>EMP71474</x:v>
      </x:c>
      <x:c r="B105" s="16" t="str">
        <x:f>Raw_HR_Data!B103</x:f>
        <x:v>Henry Kumar</x:v>
      </x:c>
      <x:c r="C105" s="16" t="str">
        <x:f>Raw_HR_Data!C103</x:f>
        <x:v>Consulting Ops</x:v>
      </x:c>
      <x:c r="D105" s="17" t="str">
        <x:f>IF(COUNTIF(Raw_HR_Data!$A$2:$A$221,A105)&gt;1,"Duplicate","OK")</x:f>
        <x:v>OK</x:v>
      </x:c>
      <x:c r="E105" s="17" t="str">
        <x:f>IF(B105="","Missing Name","OK")</x:f>
        <x:v>OK</x:v>
      </x:c>
      <x:c r="F105" s="17" t="str">
        <x:f>IF(Raw_HR_Data!F103="","Missing Salary","OK")</x:f>
        <x:v>OK</x:v>
      </x:c>
      <x:c r="G105" s="17" t="str">
        <x:f>IF(AND(Raw_HR_Data!F103&lt;&gt;"",NOT(ISNUMBER(Raw_HR_Data!F103))),"Invalid Salary Type","OK")</x:f>
        <x:v>OK</x:v>
      </x:c>
      <x:c r="H105" s="17" t="str">
        <x:f>IF(Raw_HR_Data!I103&lt;0,"Invalid Deduction","OK")</x:f>
        <x:v>OK</x:v>
      </x:c>
      <x:c r="I105" s="17" t="str">
        <x:f>IF(OR(NOT(ISNUMBER(Raw_HR_Data!F103)),NOT(ISNUMBER(Raw_HR_Data!G103)),NOT(ISNUMBER(Raw_HR_Data!H103)),NOT(ISNUMBER(Raw_HR_Data!I103))),"Check Source Data",IF(Raw_HR_Data!J103=Raw_HR_Data!F103+Raw_HR_Data!G103+Raw_HR_Data!H103-Raw_HR_Data!I103,"OK","Net Pay Error"))</x:f>
        <x:v>OK</x:v>
      </x:c>
      <x:c r="J105" s="17" t="str">
        <x:f>IF(Raw_HR_Data!K103="","Missing Bank Status","OK")</x:f>
        <x:v>OK</x:v>
      </x:c>
      <x:c r="K105" s="17" t="str">
        <x:f>IF(Raw_HR_Data!L103="","Missing PAN","OK")</x:f>
        <x:v>OK</x:v>
      </x:c>
      <x:c r="L105" s="17" t="str">
        <x:f>IF(Raw_HR_Data!M103&gt;31,"Invalid Attendance","OK")</x:f>
        <x:v>OK</x:v>
      </x:c>
      <x:c r="M105" s="17" t="str">
        <x:f>IF(OR(Raw_HR_Data!N103&gt;10,Raw_HR_Data!N103&gt;Raw_HR_Data!M103),"Invalid Leave","OK")</x:f>
        <x:v>OK</x:v>
      </x:c>
      <x:c r="N105" s="17" t="str">
        <x:f>IF(OR(Raw_HR_Data!O103="Processed",Raw_HR_Data!O103="Pending",Raw_HR_Data!O103="Hold"),"OK","Invalid Payroll Status")</x:f>
        <x:v>OK</x:v>
      </x:c>
      <x:c r="O105" s="17">
        <x:f>COUNTIF(D105:N105,"&lt;&gt;OK")-COUNTIF(I105,"Check Source Data")+IF(I105="Check Source Data",1,0)</x:f>
        <x:v>0</x:v>
      </x:c>
      <x:c r="P105" s="17" t="str">
        <x:f>IF(O105=0,"Clean","Error Found")</x:f>
        <x:v>Clean</x:v>
      </x:c>
      <x:c r="Q105" s="18" t="str">
        <x:f>IF(P105="Clean","No action needed","Review raw record and update Validated_Data")</x:f>
        <x:v>No action needed</x:v>
      </x:c>
    </x:row>
    <x:row r="106">
      <x:c r="A106" s="15" t="str">
        <x:f>Raw_HR_Data!A104</x:f>
        <x:v>EMP72991</x:v>
      </x:c>
      <x:c r="B106" s="16" t="str">
        <x:f>Raw_HR_Data!B104</x:f>
        <x:v>Pooja Nair</x:v>
      </x:c>
      <x:c r="C106" s="16" t="str">
        <x:f>Raw_HR_Data!C104</x:f>
        <x:v>HR Shared Services</x:v>
      </x:c>
      <x:c r="D106" s="17" t="str">
        <x:f>IF(COUNTIF(Raw_HR_Data!$A$2:$A$221,A106)&gt;1,"Duplicate","OK")</x:f>
        <x:v>OK</x:v>
      </x:c>
      <x:c r="E106" s="17" t="str">
        <x:f>IF(B106="","Missing Name","OK")</x:f>
        <x:v>OK</x:v>
      </x:c>
      <x:c r="F106" s="17" t="str">
        <x:f>IF(Raw_HR_Data!F104="","Missing Salary","OK")</x:f>
        <x:v>OK</x:v>
      </x:c>
      <x:c r="G106" s="17" t="str">
        <x:f>IF(AND(Raw_HR_Data!F104&lt;&gt;"",NOT(ISNUMBER(Raw_HR_Data!F104))),"Invalid Salary Type","OK")</x:f>
        <x:v>OK</x:v>
      </x:c>
      <x:c r="H106" s="17" t="str">
        <x:f>IF(Raw_HR_Data!I104&lt;0,"Invalid Deduction","OK")</x:f>
        <x:v>OK</x:v>
      </x:c>
      <x:c r="I106" s="17" t="str">
        <x:f>IF(OR(NOT(ISNUMBER(Raw_HR_Data!F104)),NOT(ISNUMBER(Raw_HR_Data!G104)),NOT(ISNUMBER(Raw_HR_Data!H104)),NOT(ISNUMBER(Raw_HR_Data!I104))),"Check Source Data",IF(Raw_HR_Data!J104=Raw_HR_Data!F104+Raw_HR_Data!G104+Raw_HR_Data!H104-Raw_HR_Data!I104,"OK","Net Pay Error"))</x:f>
        <x:v>OK</x:v>
      </x:c>
      <x:c r="J106" s="17" t="str">
        <x:f>IF(Raw_HR_Data!K104="","Missing Bank Status","OK")</x:f>
        <x:v>OK</x:v>
      </x:c>
      <x:c r="K106" s="17" t="str">
        <x:f>IF(Raw_HR_Data!L104="","Missing PAN","OK")</x:f>
        <x:v>OK</x:v>
      </x:c>
      <x:c r="L106" s="17" t="str">
        <x:f>IF(Raw_HR_Data!M104&gt;31,"Invalid Attendance","OK")</x:f>
        <x:v>OK</x:v>
      </x:c>
      <x:c r="M106" s="17" t="str">
        <x:f>IF(OR(Raw_HR_Data!N104&gt;10,Raw_HR_Data!N104&gt;Raw_HR_Data!M104),"Invalid Leave","OK")</x:f>
        <x:v>OK</x:v>
      </x:c>
      <x:c r="N106" s="17" t="str">
        <x:f>IF(OR(Raw_HR_Data!O104="Processed",Raw_HR_Data!O104="Pending",Raw_HR_Data!O104="Hold"),"OK","Invalid Payroll Status")</x:f>
        <x:v>OK</x:v>
      </x:c>
      <x:c r="O106" s="17">
        <x:f>COUNTIF(D106:N106,"&lt;&gt;OK")-COUNTIF(I106,"Check Source Data")+IF(I106="Check Source Data",1,0)</x:f>
        <x:v>0</x:v>
      </x:c>
      <x:c r="P106" s="17" t="str">
        <x:f>IF(O106=0,"Clean","Error Found")</x:f>
        <x:v>Clean</x:v>
      </x:c>
      <x:c r="Q106" s="18" t="str">
        <x:f>IF(P106="Clean","No action needed","Review raw record and update Validated_Data")</x:f>
        <x:v>No action needed</x:v>
      </x:c>
    </x:row>
    <x:row r="107">
      <x:c r="A107" s="15" t="str">
        <x:f>Raw_HR_Data!A105</x:f>
        <x:v>EMP55820</x:v>
      </x:c>
      <x:c r="B107" s="16" t="str">
        <x:f>Raw_HR_Data!B105</x:f>
        <x:v>Aisha Martin</x:v>
      </x:c>
      <x:c r="C107" s="16" t="str">
        <x:f>Raw_HR_Data!C105</x:f>
        <x:v>Payroll Ops</x:v>
      </x:c>
      <x:c r="D107" s="17" t="str">
        <x:f>IF(COUNTIF(Raw_HR_Data!$A$2:$A$221,A107)&gt;1,"Duplicate","OK")</x:f>
        <x:v>OK</x:v>
      </x:c>
      <x:c r="E107" s="17" t="str">
        <x:f>IF(B107="","Missing Name","OK")</x:f>
        <x:v>OK</x:v>
      </x:c>
      <x:c r="F107" s="17" t="str">
        <x:f>IF(Raw_HR_Data!F105="","Missing Salary","OK")</x:f>
        <x:v>OK</x:v>
      </x:c>
      <x:c r="G107" s="17" t="str">
        <x:f>IF(AND(Raw_HR_Data!F105&lt;&gt;"",NOT(ISNUMBER(Raw_HR_Data!F105))),"Invalid Salary Type","OK")</x:f>
        <x:v>OK</x:v>
      </x:c>
      <x:c r="H107" s="17" t="str">
        <x:f>IF(Raw_HR_Data!I105&lt;0,"Invalid Deduction","OK")</x:f>
        <x:v>OK</x:v>
      </x:c>
      <x:c r="I107" s="17" t="str">
        <x:f>IF(OR(NOT(ISNUMBER(Raw_HR_Data!F105)),NOT(ISNUMBER(Raw_HR_Data!G105)),NOT(ISNUMBER(Raw_HR_Data!H105)),NOT(ISNUMBER(Raw_HR_Data!I105))),"Check Source Data",IF(Raw_HR_Data!J105=Raw_HR_Data!F105+Raw_HR_Data!G105+Raw_HR_Data!H105-Raw_HR_Data!I105,"OK","Net Pay Error"))</x:f>
        <x:v>OK</x:v>
      </x:c>
      <x:c r="J107" s="17" t="str">
        <x:f>IF(Raw_HR_Data!K105="","Missing Bank Status","OK")</x:f>
        <x:v>OK</x:v>
      </x:c>
      <x:c r="K107" s="17" t="str">
        <x:f>IF(Raw_HR_Data!L105="","Missing PAN","OK")</x:f>
        <x:v>OK</x:v>
      </x:c>
      <x:c r="L107" s="17" t="str">
        <x:f>IF(Raw_HR_Data!M105&gt;31,"Invalid Attendance","OK")</x:f>
        <x:v>OK</x:v>
      </x:c>
      <x:c r="M107" s="17" t="str">
        <x:f>IF(OR(Raw_HR_Data!N105&gt;10,Raw_HR_Data!N105&gt;Raw_HR_Data!M105),"Invalid Leave","OK")</x:f>
        <x:v>OK</x:v>
      </x:c>
      <x:c r="N107" s="17" t="str">
        <x:f>IF(OR(Raw_HR_Data!O105="Processed",Raw_HR_Data!O105="Pending",Raw_HR_Data!O105="Hold"),"OK","Invalid Payroll Status")</x:f>
        <x:v>OK</x:v>
      </x:c>
      <x:c r="O107" s="17">
        <x:f>COUNTIF(D107:N107,"&lt;&gt;OK")-COUNTIF(I107,"Check Source Data")+IF(I107="Check Source Data",1,0)</x:f>
        <x:v>0</x:v>
      </x:c>
      <x:c r="P107" s="17" t="str">
        <x:f>IF(O107=0,"Clean","Error Found")</x:f>
        <x:v>Clean</x:v>
      </x:c>
      <x:c r="Q107" s="18" t="str">
        <x:f>IF(P107="Clean","No action needed","Review raw record and update Validated_Data")</x:f>
        <x:v>No action needed</x:v>
      </x:c>
    </x:row>
    <x:row r="108">
      <x:c r="A108" s="15" t="str">
        <x:f>Raw_HR_Data!A106</x:f>
        <x:v>EMP28035</x:v>
      </x:c>
      <x:c r="B108" s="16">
        <x:f>Raw_HR_Data!B106</x:f>
        <x:v>0</x:v>
      </x:c>
      <x:c r="C108" s="16" t="str">
        <x:f>Raw_HR_Data!C106</x:f>
        <x:v>Audit Support</x:v>
      </x:c>
      <x:c r="D108" s="17" t="str">
        <x:f>IF(COUNTIF(Raw_HR_Data!$A$2:$A$221,A108)&gt;1,"Duplicate","OK")</x:f>
        <x:v>OK</x:v>
      </x:c>
      <x:c r="E108" s="17" t="str">
        <x:f>IF(B108="","Missing Name","OK")</x:f>
        <x:v>Missing Name</x:v>
      </x:c>
      <x:c r="F108" s="17" t="str">
        <x:f>IF(Raw_HR_Data!F106="","Missing Salary","OK")</x:f>
        <x:v>OK</x:v>
      </x:c>
      <x:c r="G108" s="17" t="str">
        <x:f>IF(AND(Raw_HR_Data!F106&lt;&gt;"",NOT(ISNUMBER(Raw_HR_Data!F106))),"Invalid Salary Type","OK")</x:f>
        <x:v>OK</x:v>
      </x:c>
      <x:c r="H108" s="17" t="str">
        <x:f>IF(Raw_HR_Data!I106&lt;0,"Invalid Deduction","OK")</x:f>
        <x:v>OK</x:v>
      </x:c>
      <x:c r="I108" s="17" t="str">
        <x:f>IF(OR(NOT(ISNUMBER(Raw_HR_Data!F106)),NOT(ISNUMBER(Raw_HR_Data!G106)),NOT(ISNUMBER(Raw_HR_Data!H106)),NOT(ISNUMBER(Raw_HR_Data!I106))),"Check Source Data",IF(Raw_HR_Data!J106=Raw_HR_Data!F106+Raw_HR_Data!G106+Raw_HR_Data!H106-Raw_HR_Data!I106,"OK","Net Pay Error"))</x:f>
        <x:v>OK</x:v>
      </x:c>
      <x:c r="J108" s="17" t="str">
        <x:f>IF(Raw_HR_Data!K106="","Missing Bank Status","OK")</x:f>
        <x:v>OK</x:v>
      </x:c>
      <x:c r="K108" s="17" t="str">
        <x:f>IF(Raw_HR_Data!L106="","Missing PAN","OK")</x:f>
        <x:v>OK</x:v>
      </x:c>
      <x:c r="L108" s="17" t="str">
        <x:f>IF(Raw_HR_Data!M106&gt;31,"Invalid Attendance","OK")</x:f>
        <x:v>OK</x:v>
      </x:c>
      <x:c r="M108" s="17" t="str">
        <x:f>IF(OR(Raw_HR_Data!N106&gt;10,Raw_HR_Data!N106&gt;Raw_HR_Data!M106),"Invalid Leave","OK")</x:f>
        <x:v>OK</x:v>
      </x:c>
      <x:c r="N108" s="17" t="str">
        <x:f>IF(OR(Raw_HR_Data!O106="Processed",Raw_HR_Data!O106="Pending",Raw_HR_Data!O106="Hold"),"OK","Invalid Payroll Status")</x:f>
        <x:v>OK</x:v>
      </x:c>
      <x:c r="O108" s="17">
        <x:f>COUNTIF(D108:N108,"&lt;&gt;OK")-COUNTIF(I108,"Check Source Data")+IF(I108="Check Source Data",1,0)</x:f>
        <x:v>1</x:v>
      </x:c>
      <x:c r="P108" s="17" t="str">
        <x:f>IF(O108=0,"Clean","Error Found")</x:f>
        <x:v>Error Found</x:v>
      </x:c>
      <x:c r="Q108" s="18" t="str">
        <x:f>IF(P108="Clean","No action needed","Review raw record and update Validated_Data")</x:f>
        <x:v>Review raw record and update Validated_Data</x:v>
      </x:c>
    </x:row>
    <x:row r="109">
      <x:c r="A109" s="15" t="str">
        <x:f>Raw_HR_Data!A107</x:f>
        <x:v>EMP65476</x:v>
      </x:c>
      <x:c r="B109" s="16" t="str">
        <x:f>Raw_HR_Data!B107</x:f>
        <x:v>Deepika Singh</x:v>
      </x:c>
      <x:c r="C109" s="16" t="str">
        <x:f>Raw_HR_Data!C107</x:f>
        <x:v>Talent Ops</x:v>
      </x:c>
      <x:c r="D109" s="17" t="str">
        <x:f>IF(COUNTIF(Raw_HR_Data!$A$2:$A$221,A109)&gt;1,"Duplicate","OK")</x:f>
        <x:v>OK</x:v>
      </x:c>
      <x:c r="E109" s="17" t="str">
        <x:f>IF(B109="","Missing Name","OK")</x:f>
        <x:v>OK</x:v>
      </x:c>
      <x:c r="F109" s="17" t="str">
        <x:f>IF(Raw_HR_Data!F107="","Missing Salary","OK")</x:f>
        <x:v>OK</x:v>
      </x:c>
      <x:c r="G109" s="17" t="str">
        <x:f>IF(AND(Raw_HR_Data!F107&lt;&gt;"",NOT(ISNUMBER(Raw_HR_Data!F107))),"Invalid Salary Type","OK")</x:f>
        <x:v>OK</x:v>
      </x:c>
      <x:c r="H109" s="17" t="str">
        <x:f>IF(Raw_HR_Data!I107&lt;0,"Invalid Deduction","OK")</x:f>
        <x:v>OK</x:v>
      </x:c>
      <x:c r="I109" s="17" t="str">
        <x:f>IF(OR(NOT(ISNUMBER(Raw_HR_Data!F107)),NOT(ISNUMBER(Raw_HR_Data!G107)),NOT(ISNUMBER(Raw_HR_Data!H107)),NOT(ISNUMBER(Raw_HR_Data!I107))),"Check Source Data",IF(Raw_HR_Data!J107=Raw_HR_Data!F107+Raw_HR_Data!G107+Raw_HR_Data!H107-Raw_HR_Data!I107,"OK","Net Pay Error"))</x:f>
        <x:v>OK</x:v>
      </x:c>
      <x:c r="J109" s="17" t="str">
        <x:f>IF(Raw_HR_Data!K107="","Missing Bank Status","OK")</x:f>
        <x:v>OK</x:v>
      </x:c>
      <x:c r="K109" s="17" t="str">
        <x:f>IF(Raw_HR_Data!L107="","Missing PAN","OK")</x:f>
        <x:v>OK</x:v>
      </x:c>
      <x:c r="L109" s="17" t="str">
        <x:f>IF(Raw_HR_Data!M107&gt;31,"Invalid Attendance","OK")</x:f>
        <x:v>OK</x:v>
      </x:c>
      <x:c r="M109" s="17" t="str">
        <x:f>IF(OR(Raw_HR_Data!N107&gt;10,Raw_HR_Data!N107&gt;Raw_HR_Data!M107),"Invalid Leave","OK")</x:f>
        <x:v>OK</x:v>
      </x:c>
      <x:c r="N109" s="17" t="str">
        <x:f>IF(OR(Raw_HR_Data!O107="Processed",Raw_HR_Data!O107="Pending",Raw_HR_Data!O107="Hold"),"OK","Invalid Payroll Status")</x:f>
        <x:v>OK</x:v>
      </x:c>
      <x:c r="O109" s="17">
        <x:f>COUNTIF(D109:N109,"&lt;&gt;OK")-COUNTIF(I109,"Check Source Data")+IF(I109="Check Source Data",1,0)</x:f>
        <x:v>0</x:v>
      </x:c>
      <x:c r="P109" s="17" t="str">
        <x:f>IF(O109=0,"Clean","Error Found")</x:f>
        <x:v>Clean</x:v>
      </x:c>
      <x:c r="Q109" s="18" t="str">
        <x:f>IF(P109="Clean","No action needed","Review raw record and update Validated_Data")</x:f>
        <x:v>No action needed</x:v>
      </x:c>
    </x:row>
    <x:row r="110">
      <x:c r="A110" s="15" t="str">
        <x:f>Raw_HR_Data!A108</x:f>
        <x:v>EMP19880</x:v>
      </x:c>
      <x:c r="B110" s="16" t="str">
        <x:f>Raw_HR_Data!B108</x:f>
        <x:v>Kavya Shah</x:v>
      </x:c>
      <x:c r="C110" s="16" t="str">
        <x:f>Raw_HR_Data!C108</x:f>
        <x:v>Finance Ops</x:v>
      </x:c>
      <x:c r="D110" s="17" t="str">
        <x:f>IF(COUNTIF(Raw_HR_Data!$A$2:$A$221,A110)&gt;1,"Duplicate","OK")</x:f>
        <x:v>Duplicate</x:v>
      </x:c>
      <x:c r="E110" s="17" t="str">
        <x:f>IF(B110="","Missing Name","OK")</x:f>
        <x:v>OK</x:v>
      </x:c>
      <x:c r="F110" s="17" t="str">
        <x:f>IF(Raw_HR_Data!F108="","Missing Salary","OK")</x:f>
        <x:v>OK</x:v>
      </x:c>
      <x:c r="G110" s="17" t="str">
        <x:f>IF(AND(Raw_HR_Data!F108&lt;&gt;"",NOT(ISNUMBER(Raw_HR_Data!F108))),"Invalid Salary Type","OK")</x:f>
        <x:v>OK</x:v>
      </x:c>
      <x:c r="H110" s="17" t="str">
        <x:f>IF(Raw_HR_Data!I108&lt;0,"Invalid Deduction","OK")</x:f>
        <x:v>OK</x:v>
      </x:c>
      <x:c r="I110" s="17" t="str">
        <x:f>IF(OR(NOT(ISNUMBER(Raw_HR_Data!F108)),NOT(ISNUMBER(Raw_HR_Data!G108)),NOT(ISNUMBER(Raw_HR_Data!H108)),NOT(ISNUMBER(Raw_HR_Data!I108))),"Check Source Data",IF(Raw_HR_Data!J108=Raw_HR_Data!F108+Raw_HR_Data!G108+Raw_HR_Data!H108-Raw_HR_Data!I108,"OK","Net Pay Error"))</x:f>
        <x:v>OK</x:v>
      </x:c>
      <x:c r="J110" s="17" t="str">
        <x:f>IF(Raw_HR_Data!K108="","Missing Bank Status","OK")</x:f>
        <x:v>OK</x:v>
      </x:c>
      <x:c r="K110" s="17" t="str">
        <x:f>IF(Raw_HR_Data!L108="","Missing PAN","OK")</x:f>
        <x:v>OK</x:v>
      </x:c>
      <x:c r="L110" s="17" t="str">
        <x:f>IF(Raw_HR_Data!M108&gt;31,"Invalid Attendance","OK")</x:f>
        <x:v>OK</x:v>
      </x:c>
      <x:c r="M110" s="17" t="str">
        <x:f>IF(OR(Raw_HR_Data!N108&gt;10,Raw_HR_Data!N108&gt;Raw_HR_Data!M108),"Invalid Leave","OK")</x:f>
        <x:v>OK</x:v>
      </x:c>
      <x:c r="N110" s="17" t="str">
        <x:f>IF(OR(Raw_HR_Data!O108="Processed",Raw_HR_Data!O108="Pending",Raw_HR_Data!O108="Hold"),"OK","Invalid Payroll Status")</x:f>
        <x:v>OK</x:v>
      </x:c>
      <x:c r="O110" s="17">
        <x:f>COUNTIF(D110:N110,"&lt;&gt;OK")-COUNTIF(I110,"Check Source Data")+IF(I110="Check Source Data",1,0)</x:f>
        <x:v>1</x:v>
      </x:c>
      <x:c r="P110" s="17" t="str">
        <x:f>IF(O110=0,"Clean","Error Found")</x:f>
        <x:v>Error Found</x:v>
      </x:c>
      <x:c r="Q110" s="18" t="str">
        <x:f>IF(P110="Clean","No action needed","Review raw record and update Validated_Data")</x:f>
        <x:v>Review raw record and update Validated_Data</x:v>
      </x:c>
    </x:row>
    <x:row r="111">
      <x:c r="A111" s="15" t="str">
        <x:f>Raw_HR_Data!A109</x:f>
        <x:v>EMP78951</x:v>
      </x:c>
      <x:c r="B111" s="16" t="str">
        <x:f>Raw_HR_Data!B109</x:f>
        <x:v>Aisha Lee</x:v>
      </x:c>
      <x:c r="C111" s="16" t="str">
        <x:f>Raw_HR_Data!C109</x:f>
        <x:v>Audit Support</x:v>
      </x:c>
      <x:c r="D111" s="17" t="str">
        <x:f>IF(COUNTIF(Raw_HR_Data!$A$2:$A$221,A111)&gt;1,"Duplicate","OK")</x:f>
        <x:v>OK</x:v>
      </x:c>
      <x:c r="E111" s="17" t="str">
        <x:f>IF(B111="","Missing Name","OK")</x:f>
        <x:v>OK</x:v>
      </x:c>
      <x:c r="F111" s="17" t="str">
        <x:f>IF(Raw_HR_Data!F109="","Missing Salary","OK")</x:f>
        <x:v>OK</x:v>
      </x:c>
      <x:c r="G111" s="17" t="str">
        <x:f>IF(AND(Raw_HR_Data!F109&lt;&gt;"",NOT(ISNUMBER(Raw_HR_Data!F109))),"Invalid Salary Type","OK")</x:f>
        <x:v>OK</x:v>
      </x:c>
      <x:c r="H111" s="17" t="str">
        <x:f>IF(Raw_HR_Data!I109&lt;0,"Invalid Deduction","OK")</x:f>
        <x:v>OK</x:v>
      </x:c>
      <x:c r="I111" s="17" t="str">
        <x:f>IF(OR(NOT(ISNUMBER(Raw_HR_Data!F109)),NOT(ISNUMBER(Raw_HR_Data!G109)),NOT(ISNUMBER(Raw_HR_Data!H109)),NOT(ISNUMBER(Raw_HR_Data!I109))),"Check Source Data",IF(Raw_HR_Data!J109=Raw_HR_Data!F109+Raw_HR_Data!G109+Raw_HR_Data!H109-Raw_HR_Data!I109,"OK","Net Pay Error"))</x:f>
        <x:v>OK</x:v>
      </x:c>
      <x:c r="J111" s="17" t="str">
        <x:f>IF(Raw_HR_Data!K109="","Missing Bank Status","OK")</x:f>
        <x:v>OK</x:v>
      </x:c>
      <x:c r="K111" s="17" t="str">
        <x:f>IF(Raw_HR_Data!L109="","Missing PAN","OK")</x:f>
        <x:v>OK</x:v>
      </x:c>
      <x:c r="L111" s="17" t="str">
        <x:f>IF(Raw_HR_Data!M109&gt;31,"Invalid Attendance","OK")</x:f>
        <x:v>OK</x:v>
      </x:c>
      <x:c r="M111" s="17" t="str">
        <x:f>IF(OR(Raw_HR_Data!N109&gt;10,Raw_HR_Data!N109&gt;Raw_HR_Data!M109),"Invalid Leave","OK")</x:f>
        <x:v>OK</x:v>
      </x:c>
      <x:c r="N111" s="17" t="str">
        <x:f>IF(OR(Raw_HR_Data!O109="Processed",Raw_HR_Data!O109="Pending",Raw_HR_Data!O109="Hold"),"OK","Invalid Payroll Status")</x:f>
        <x:v>OK</x:v>
      </x:c>
      <x:c r="O111" s="17">
        <x:f>COUNTIF(D111:N111,"&lt;&gt;OK")-COUNTIF(I111,"Check Source Data")+IF(I111="Check Source Data",1,0)</x:f>
        <x:v>0</x:v>
      </x:c>
      <x:c r="P111" s="17" t="str">
        <x:f>IF(O111=0,"Clean","Error Found")</x:f>
        <x:v>Clean</x:v>
      </x:c>
      <x:c r="Q111" s="18" t="str">
        <x:f>IF(P111="Clean","No action needed","Review raw record and update Validated_Data")</x:f>
        <x:v>No action needed</x:v>
      </x:c>
    </x:row>
    <x:row r="112">
      <x:c r="A112" s="15" t="str">
        <x:f>Raw_HR_Data!A110</x:f>
        <x:v>EMP53583</x:v>
      </x:c>
      <x:c r="B112" s="16" t="str">
        <x:f>Raw_HR_Data!B110</x:f>
        <x:v>Divya Bose</x:v>
      </x:c>
      <x:c r="C112" s="16" t="str">
        <x:f>Raw_HR_Data!C110</x:f>
        <x:v>IT Support</x:v>
      </x:c>
      <x:c r="D112" s="17" t="str">
        <x:f>IF(COUNTIF(Raw_HR_Data!$A$2:$A$221,A112)&gt;1,"Duplicate","OK")</x:f>
        <x:v>OK</x:v>
      </x:c>
      <x:c r="E112" s="17" t="str">
        <x:f>IF(B112="","Missing Name","OK")</x:f>
        <x:v>OK</x:v>
      </x:c>
      <x:c r="F112" s="17" t="str">
        <x:f>IF(Raw_HR_Data!F110="","Missing Salary","OK")</x:f>
        <x:v>OK</x:v>
      </x:c>
      <x:c r="G112" s="17" t="str">
        <x:f>IF(AND(Raw_HR_Data!F110&lt;&gt;"",NOT(ISNUMBER(Raw_HR_Data!F110))),"Invalid Salary Type","OK")</x:f>
        <x:v>OK</x:v>
      </x:c>
      <x:c r="H112" s="17" t="str">
        <x:f>IF(Raw_HR_Data!I110&lt;0,"Invalid Deduction","OK")</x:f>
        <x:v>OK</x:v>
      </x:c>
      <x:c r="I112" s="17" t="str">
        <x:f>IF(OR(NOT(ISNUMBER(Raw_HR_Data!F110)),NOT(ISNUMBER(Raw_HR_Data!G110)),NOT(ISNUMBER(Raw_HR_Data!H110)),NOT(ISNUMBER(Raw_HR_Data!I110))),"Check Source Data",IF(Raw_HR_Data!J110=Raw_HR_Data!F110+Raw_HR_Data!G110+Raw_HR_Data!H110-Raw_HR_Data!I110,"OK","Net Pay Error"))</x:f>
        <x:v>OK</x:v>
      </x:c>
      <x:c r="J112" s="17" t="str">
        <x:f>IF(Raw_HR_Data!K110="","Missing Bank Status","OK")</x:f>
        <x:v>OK</x:v>
      </x:c>
      <x:c r="K112" s="17" t="str">
        <x:f>IF(Raw_HR_Data!L110="","Missing PAN","OK")</x:f>
        <x:v>OK</x:v>
      </x:c>
      <x:c r="L112" s="17" t="str">
        <x:f>IF(Raw_HR_Data!M110&gt;31,"Invalid Attendance","OK")</x:f>
        <x:v>OK</x:v>
      </x:c>
      <x:c r="M112" s="17" t="str">
        <x:f>IF(OR(Raw_HR_Data!N110&gt;10,Raw_HR_Data!N110&gt;Raw_HR_Data!M110),"Invalid Leave","OK")</x:f>
        <x:v>OK</x:v>
      </x:c>
      <x:c r="N112" s="17" t="str">
        <x:f>IF(OR(Raw_HR_Data!O110="Processed",Raw_HR_Data!O110="Pending",Raw_HR_Data!O110="Hold"),"OK","Invalid Payroll Status")</x:f>
        <x:v>OK</x:v>
      </x:c>
      <x:c r="O112" s="17">
        <x:f>COUNTIF(D112:N112,"&lt;&gt;OK")-COUNTIF(I112,"Check Source Data")+IF(I112="Check Source Data",1,0)</x:f>
        <x:v>0</x:v>
      </x:c>
      <x:c r="P112" s="17" t="str">
        <x:f>IF(O112=0,"Clean","Error Found")</x:f>
        <x:v>Clean</x:v>
      </x:c>
      <x:c r="Q112" s="18" t="str">
        <x:f>IF(P112="Clean","No action needed","Review raw record and update Validated_Data")</x:f>
        <x:v>No action needed</x:v>
      </x:c>
    </x:row>
    <x:row r="113">
      <x:c r="A113" s="15" t="str">
        <x:f>Raw_HR_Data!A111</x:f>
        <x:v>EMP36422</x:v>
      </x:c>
      <x:c r="B113" s="16" t="str">
        <x:f>Raw_HR_Data!B111</x:f>
        <x:v>Akash Taylor</x:v>
      </x:c>
      <x:c r="C113" s="16" t="str">
        <x:f>Raw_HR_Data!C111</x:f>
        <x:v>Benefits Team</x:v>
      </x:c>
      <x:c r="D113" s="17" t="str">
        <x:f>IF(COUNTIF(Raw_HR_Data!$A$2:$A$221,A113)&gt;1,"Duplicate","OK")</x:f>
        <x:v>OK</x:v>
      </x:c>
      <x:c r="E113" s="17" t="str">
        <x:f>IF(B113="","Missing Name","OK")</x:f>
        <x:v>OK</x:v>
      </x:c>
      <x:c r="F113" s="17" t="str">
        <x:f>IF(Raw_HR_Data!F111="","Missing Salary","OK")</x:f>
        <x:v>OK</x:v>
      </x:c>
      <x:c r="G113" s="17" t="str">
        <x:f>IF(AND(Raw_HR_Data!F111&lt;&gt;"",NOT(ISNUMBER(Raw_HR_Data!F111))),"Invalid Salary Type","OK")</x:f>
        <x:v>OK</x:v>
      </x:c>
      <x:c r="H113" s="17" t="str">
        <x:f>IF(Raw_HR_Data!I111&lt;0,"Invalid Deduction","OK")</x:f>
        <x:v>OK</x:v>
      </x:c>
      <x:c r="I113" s="17" t="str">
        <x:f>IF(OR(NOT(ISNUMBER(Raw_HR_Data!F111)),NOT(ISNUMBER(Raw_HR_Data!G111)),NOT(ISNUMBER(Raw_HR_Data!H111)),NOT(ISNUMBER(Raw_HR_Data!I111))),"Check Source Data",IF(Raw_HR_Data!J111=Raw_HR_Data!F111+Raw_HR_Data!G111+Raw_HR_Data!H111-Raw_HR_Data!I111,"OK","Net Pay Error"))</x:f>
        <x:v>OK</x:v>
      </x:c>
      <x:c r="J113" s="17" t="str">
        <x:f>IF(Raw_HR_Data!K111="","Missing Bank Status","OK")</x:f>
        <x:v>OK</x:v>
      </x:c>
      <x:c r="K113" s="17" t="str">
        <x:f>IF(Raw_HR_Data!L111="","Missing PAN","OK")</x:f>
        <x:v>OK</x:v>
      </x:c>
      <x:c r="L113" s="17" t="str">
        <x:f>IF(Raw_HR_Data!M111&gt;31,"Invalid Attendance","OK")</x:f>
        <x:v>OK</x:v>
      </x:c>
      <x:c r="M113" s="17" t="str">
        <x:f>IF(OR(Raw_HR_Data!N111&gt;10,Raw_HR_Data!N111&gt;Raw_HR_Data!M111),"Invalid Leave","OK")</x:f>
        <x:v>OK</x:v>
      </x:c>
      <x:c r="N113" s="17" t="str">
        <x:f>IF(OR(Raw_HR_Data!O111="Processed",Raw_HR_Data!O111="Pending",Raw_HR_Data!O111="Hold"),"OK","Invalid Payroll Status")</x:f>
        <x:v>OK</x:v>
      </x:c>
      <x:c r="O113" s="17">
        <x:f>COUNTIF(D113:N113,"&lt;&gt;OK")-COUNTIF(I113,"Check Source Data")+IF(I113="Check Source Data",1,0)</x:f>
        <x:v>0</x:v>
      </x:c>
      <x:c r="P113" s="17" t="str">
        <x:f>IF(O113=0,"Clean","Error Found")</x:f>
        <x:v>Clean</x:v>
      </x:c>
      <x:c r="Q113" s="18" t="str">
        <x:f>IF(P113="Clean","No action needed","Review raw record and update Validated_Data")</x:f>
        <x:v>No action needed</x:v>
      </x:c>
    </x:row>
    <x:row r="114">
      <x:c r="A114" s="15" t="str">
        <x:f>Raw_HR_Data!A112</x:f>
        <x:v>EMP16265</x:v>
      </x:c>
      <x:c r="B114" s="16" t="str">
        <x:f>Raw_HR_Data!B112</x:f>
        <x:v>Noah Jackson</x:v>
      </x:c>
      <x:c r="C114" s="16" t="str">
        <x:f>Raw_HR_Data!C112</x:f>
        <x:v>HR Shared Services</x:v>
      </x:c>
      <x:c r="D114" s="17" t="str">
        <x:f>IF(COUNTIF(Raw_HR_Data!$A$2:$A$221,A114)&gt;1,"Duplicate","OK")</x:f>
        <x:v>OK</x:v>
      </x:c>
      <x:c r="E114" s="17" t="str">
        <x:f>IF(B114="","Missing Name","OK")</x:f>
        <x:v>OK</x:v>
      </x:c>
      <x:c r="F114" s="17" t="str">
        <x:f>IF(Raw_HR_Data!F112="","Missing Salary","OK")</x:f>
        <x:v>OK</x:v>
      </x:c>
      <x:c r="G114" s="17" t="str">
        <x:f>IF(AND(Raw_HR_Data!F112&lt;&gt;"",NOT(ISNUMBER(Raw_HR_Data!F112))),"Invalid Salary Type","OK")</x:f>
        <x:v>OK</x:v>
      </x:c>
      <x:c r="H114" s="17" t="str">
        <x:f>IF(Raw_HR_Data!I112&lt;0,"Invalid Deduction","OK")</x:f>
        <x:v>OK</x:v>
      </x:c>
      <x:c r="I114" s="17" t="str">
        <x:f>IF(OR(NOT(ISNUMBER(Raw_HR_Data!F112)),NOT(ISNUMBER(Raw_HR_Data!G112)),NOT(ISNUMBER(Raw_HR_Data!H112)),NOT(ISNUMBER(Raw_HR_Data!I112))),"Check Source Data",IF(Raw_HR_Data!J112=Raw_HR_Data!F112+Raw_HR_Data!G112+Raw_HR_Data!H112-Raw_HR_Data!I112,"OK","Net Pay Error"))</x:f>
        <x:v>OK</x:v>
      </x:c>
      <x:c r="J114" s="17" t="str">
        <x:f>IF(Raw_HR_Data!K112="","Missing Bank Status","OK")</x:f>
        <x:v>OK</x:v>
      </x:c>
      <x:c r="K114" s="17" t="str">
        <x:f>IF(Raw_HR_Data!L112="","Missing PAN","OK")</x:f>
        <x:v>OK</x:v>
      </x:c>
      <x:c r="L114" s="17" t="str">
        <x:f>IF(Raw_HR_Data!M112&gt;31,"Invalid Attendance","OK")</x:f>
        <x:v>OK</x:v>
      </x:c>
      <x:c r="M114" s="17" t="str">
        <x:f>IF(OR(Raw_HR_Data!N112&gt;10,Raw_HR_Data!N112&gt;Raw_HR_Data!M112),"Invalid Leave","OK")</x:f>
        <x:v>OK</x:v>
      </x:c>
      <x:c r="N114" s="17" t="str">
        <x:f>IF(OR(Raw_HR_Data!O112="Processed",Raw_HR_Data!O112="Pending",Raw_HR_Data!O112="Hold"),"OK","Invalid Payroll Status")</x:f>
        <x:v>OK</x:v>
      </x:c>
      <x:c r="O114" s="17">
        <x:f>COUNTIF(D114:N114,"&lt;&gt;OK")-COUNTIF(I114,"Check Source Data")+IF(I114="Check Source Data",1,0)</x:f>
        <x:v>0</x:v>
      </x:c>
      <x:c r="P114" s="17" t="str">
        <x:f>IF(O114=0,"Clean","Error Found")</x:f>
        <x:v>Clean</x:v>
      </x:c>
      <x:c r="Q114" s="18" t="str">
        <x:f>IF(P114="Clean","No action needed","Review raw record and update Validated_Data")</x:f>
        <x:v>No action needed</x:v>
      </x:c>
    </x:row>
    <x:row r="115">
      <x:c r="A115" s="15" t="str">
        <x:f>Raw_HR_Data!A113</x:f>
        <x:v>EMP20828</x:v>
      </x:c>
      <x:c r="B115" s="16" t="str">
        <x:f>Raw_HR_Data!B113</x:f>
        <x:v>Sneha Brown</x:v>
      </x:c>
      <x:c r="C115" s="16" t="str">
        <x:f>Raw_HR_Data!C113</x:f>
        <x:v>Risk Advisory</x:v>
      </x:c>
      <x:c r="D115" s="17" t="str">
        <x:f>IF(COUNTIF(Raw_HR_Data!$A$2:$A$221,A115)&gt;1,"Duplicate","OK")</x:f>
        <x:v>OK</x:v>
      </x:c>
      <x:c r="E115" s="17" t="str">
        <x:f>IF(B115="","Missing Name","OK")</x:f>
        <x:v>OK</x:v>
      </x:c>
      <x:c r="F115" s="17" t="str">
        <x:f>IF(Raw_HR_Data!F113="","Missing Salary","OK")</x:f>
        <x:v>OK</x:v>
      </x:c>
      <x:c r="G115" s="17" t="str">
        <x:f>IF(AND(Raw_HR_Data!F113&lt;&gt;"",NOT(ISNUMBER(Raw_HR_Data!F113))),"Invalid Salary Type","OK")</x:f>
        <x:v>OK</x:v>
      </x:c>
      <x:c r="H115" s="17" t="str">
        <x:f>IF(Raw_HR_Data!I113&lt;0,"Invalid Deduction","OK")</x:f>
        <x:v>OK</x:v>
      </x:c>
      <x:c r="I115" s="17" t="str">
        <x:f>IF(OR(NOT(ISNUMBER(Raw_HR_Data!F113)),NOT(ISNUMBER(Raw_HR_Data!G113)),NOT(ISNUMBER(Raw_HR_Data!H113)),NOT(ISNUMBER(Raw_HR_Data!I113))),"Check Source Data",IF(Raw_HR_Data!J113=Raw_HR_Data!F113+Raw_HR_Data!G113+Raw_HR_Data!H113-Raw_HR_Data!I113,"OK","Net Pay Error"))</x:f>
        <x:v>OK</x:v>
      </x:c>
      <x:c r="J115" s="17" t="str">
        <x:f>IF(Raw_HR_Data!K113="","Missing Bank Status","OK")</x:f>
        <x:v>OK</x:v>
      </x:c>
      <x:c r="K115" s="17" t="str">
        <x:f>IF(Raw_HR_Data!L113="","Missing PAN","OK")</x:f>
        <x:v>OK</x:v>
      </x:c>
      <x:c r="L115" s="17" t="str">
        <x:f>IF(Raw_HR_Data!M113&gt;31,"Invalid Attendance","OK")</x:f>
        <x:v>OK</x:v>
      </x:c>
      <x:c r="M115" s="17" t="str">
        <x:f>IF(OR(Raw_HR_Data!N113&gt;10,Raw_HR_Data!N113&gt;Raw_HR_Data!M113),"Invalid Leave","OK")</x:f>
        <x:v>OK</x:v>
      </x:c>
      <x:c r="N115" s="17" t="str">
        <x:f>IF(OR(Raw_HR_Data!O113="Processed",Raw_HR_Data!O113="Pending",Raw_HR_Data!O113="Hold"),"OK","Invalid Payroll Status")</x:f>
        <x:v>OK</x:v>
      </x:c>
      <x:c r="O115" s="17">
        <x:f>COUNTIF(D115:N115,"&lt;&gt;OK")-COUNTIF(I115,"Check Source Data")+IF(I115="Check Source Data",1,0)</x:f>
        <x:v>0</x:v>
      </x:c>
      <x:c r="P115" s="17" t="str">
        <x:f>IF(O115=0,"Clean","Error Found")</x:f>
        <x:v>Clean</x:v>
      </x:c>
      <x:c r="Q115" s="18" t="str">
        <x:f>IF(P115="Clean","No action needed","Review raw record and update Validated_Data")</x:f>
        <x:v>No action needed</x:v>
      </x:c>
    </x:row>
    <x:row r="116">
      <x:c r="A116" s="15" t="str">
        <x:f>Raw_HR_Data!A114</x:f>
        <x:v>EMP15551</x:v>
      </x:c>
      <x:c r="B116" s="16" t="str">
        <x:f>Raw_HR_Data!B114</x:f>
        <x:v>Oliver Pillai</x:v>
      </x:c>
      <x:c r="C116" s="16" t="str">
        <x:f>Raw_HR_Data!C114</x:f>
        <x:v>Risk Advisory</x:v>
      </x:c>
      <x:c r="D116" s="17" t="str">
        <x:f>IF(COUNTIF(Raw_HR_Data!$A$2:$A$221,A116)&gt;1,"Duplicate","OK")</x:f>
        <x:v>OK</x:v>
      </x:c>
      <x:c r="E116" s="17" t="str">
        <x:f>IF(B116="","Missing Name","OK")</x:f>
        <x:v>OK</x:v>
      </x:c>
      <x:c r="F116" s="17" t="str">
        <x:f>IF(Raw_HR_Data!F114="","Missing Salary","OK")</x:f>
        <x:v>OK</x:v>
      </x:c>
      <x:c r="G116" s="17" t="str">
        <x:f>IF(AND(Raw_HR_Data!F114&lt;&gt;"",NOT(ISNUMBER(Raw_HR_Data!F114))),"Invalid Salary Type","OK")</x:f>
        <x:v>OK</x:v>
      </x:c>
      <x:c r="H116" s="17" t="str">
        <x:f>IF(Raw_HR_Data!I114&lt;0,"Invalid Deduction","OK")</x:f>
        <x:v>Invalid Deduction</x:v>
      </x:c>
      <x:c r="I116" s="17" t="str">
        <x:f>IF(OR(NOT(ISNUMBER(Raw_HR_Data!F114)),NOT(ISNUMBER(Raw_HR_Data!G114)),NOT(ISNUMBER(Raw_HR_Data!H114)),NOT(ISNUMBER(Raw_HR_Data!I114))),"Check Source Data",IF(Raw_HR_Data!J114=Raw_HR_Data!F114+Raw_HR_Data!G114+Raw_HR_Data!H114-Raw_HR_Data!I114,"OK","Net Pay Error"))</x:f>
        <x:v>OK</x:v>
      </x:c>
      <x:c r="J116" s="17" t="str">
        <x:f>IF(Raw_HR_Data!K114="","Missing Bank Status","OK")</x:f>
        <x:v>OK</x:v>
      </x:c>
      <x:c r="K116" s="17" t="str">
        <x:f>IF(Raw_HR_Data!L114="","Missing PAN","OK")</x:f>
        <x:v>OK</x:v>
      </x:c>
      <x:c r="L116" s="17" t="str">
        <x:f>IF(Raw_HR_Data!M114&gt;31,"Invalid Attendance","OK")</x:f>
        <x:v>OK</x:v>
      </x:c>
      <x:c r="M116" s="17" t="str">
        <x:f>IF(OR(Raw_HR_Data!N114&gt;10,Raw_HR_Data!N114&gt;Raw_HR_Data!M114),"Invalid Leave","OK")</x:f>
        <x:v>OK</x:v>
      </x:c>
      <x:c r="N116" s="17" t="str">
        <x:f>IF(OR(Raw_HR_Data!O114="Processed",Raw_HR_Data!O114="Pending",Raw_HR_Data!O114="Hold"),"OK","Invalid Payroll Status")</x:f>
        <x:v>OK</x:v>
      </x:c>
      <x:c r="O116" s="17">
        <x:f>COUNTIF(D116:N116,"&lt;&gt;OK")-COUNTIF(I116,"Check Source Data")+IF(I116="Check Source Data",1,0)</x:f>
        <x:v>1</x:v>
      </x:c>
      <x:c r="P116" s="17" t="str">
        <x:f>IF(O116=0,"Clean","Error Found")</x:f>
        <x:v>Error Found</x:v>
      </x:c>
      <x:c r="Q116" s="18" t="str">
        <x:f>IF(P116="Clean","No action needed","Review raw record and update Validated_Data")</x:f>
        <x:v>Review raw record and update Validated_Data</x:v>
      </x:c>
    </x:row>
    <x:row r="117">
      <x:c r="A117" s="15" t="str">
        <x:f>Raw_HR_Data!A115</x:f>
        <x:v>EMP98878</x:v>
      </x:c>
      <x:c r="B117" s="16" t="str">
        <x:f>Raw_HR_Data!B115</x:f>
        <x:v>Sophie Bose</x:v>
      </x:c>
      <x:c r="C117" s="16" t="str">
        <x:f>Raw_HR_Data!C115</x:f>
        <x:v>Finance Ops</x:v>
      </x:c>
      <x:c r="D117" s="17" t="str">
        <x:f>IF(COUNTIF(Raw_HR_Data!$A$2:$A$221,A117)&gt;1,"Duplicate","OK")</x:f>
        <x:v>OK</x:v>
      </x:c>
      <x:c r="E117" s="17" t="str">
        <x:f>IF(B117="","Missing Name","OK")</x:f>
        <x:v>OK</x:v>
      </x:c>
      <x:c r="F117" s="17" t="str">
        <x:f>IF(Raw_HR_Data!F115="","Missing Salary","OK")</x:f>
        <x:v>OK</x:v>
      </x:c>
      <x:c r="G117" s="17" t="str">
        <x:f>IF(AND(Raw_HR_Data!F115&lt;&gt;"",NOT(ISNUMBER(Raw_HR_Data!F115))),"Invalid Salary Type","OK")</x:f>
        <x:v>OK</x:v>
      </x:c>
      <x:c r="H117" s="17" t="str">
        <x:f>IF(Raw_HR_Data!I115&lt;0,"Invalid Deduction","OK")</x:f>
        <x:v>OK</x:v>
      </x:c>
      <x:c r="I117" s="17" t="str">
        <x:f>IF(OR(NOT(ISNUMBER(Raw_HR_Data!F115)),NOT(ISNUMBER(Raw_HR_Data!G115)),NOT(ISNUMBER(Raw_HR_Data!H115)),NOT(ISNUMBER(Raw_HR_Data!I115))),"Check Source Data",IF(Raw_HR_Data!J115=Raw_HR_Data!F115+Raw_HR_Data!G115+Raw_HR_Data!H115-Raw_HR_Data!I115,"OK","Net Pay Error"))</x:f>
        <x:v>OK</x:v>
      </x:c>
      <x:c r="J117" s="17" t="str">
        <x:f>IF(Raw_HR_Data!K115="","Missing Bank Status","OK")</x:f>
        <x:v>OK</x:v>
      </x:c>
      <x:c r="K117" s="17" t="str">
        <x:f>IF(Raw_HR_Data!L115="","Missing PAN","OK")</x:f>
        <x:v>OK</x:v>
      </x:c>
      <x:c r="L117" s="17" t="str">
        <x:f>IF(Raw_HR_Data!M115&gt;31,"Invalid Attendance","OK")</x:f>
        <x:v>OK</x:v>
      </x:c>
      <x:c r="M117" s="17" t="str">
        <x:f>IF(OR(Raw_HR_Data!N115&gt;10,Raw_HR_Data!N115&gt;Raw_HR_Data!M115),"Invalid Leave","OK")</x:f>
        <x:v>OK</x:v>
      </x:c>
      <x:c r="N117" s="17" t="str">
        <x:f>IF(OR(Raw_HR_Data!O115="Processed",Raw_HR_Data!O115="Pending",Raw_HR_Data!O115="Hold"),"OK","Invalid Payroll Status")</x:f>
        <x:v>OK</x:v>
      </x:c>
      <x:c r="O117" s="17">
        <x:f>COUNTIF(D117:N117,"&lt;&gt;OK")-COUNTIF(I117,"Check Source Data")+IF(I117="Check Source Data",1,0)</x:f>
        <x:v>0</x:v>
      </x:c>
      <x:c r="P117" s="17" t="str">
        <x:f>IF(O117=0,"Clean","Error Found")</x:f>
        <x:v>Clean</x:v>
      </x:c>
      <x:c r="Q117" s="18" t="str">
        <x:f>IF(P117="Clean","No action needed","Review raw record and update Validated_Data")</x:f>
        <x:v>No action needed</x:v>
      </x:c>
    </x:row>
    <x:row r="118">
      <x:c r="A118" s="15" t="str">
        <x:f>Raw_HR_Data!A116</x:f>
        <x:v>EMP20077</x:v>
      </x:c>
      <x:c r="B118" s="16" t="str">
        <x:f>Raw_HR_Data!B116</x:f>
        <x:v>Divya Moore</x:v>
      </x:c>
      <x:c r="C118" s="16" t="str">
        <x:f>Raw_HR_Data!C116</x:f>
        <x:v>IT Support</x:v>
      </x:c>
      <x:c r="D118" s="17" t="str">
        <x:f>IF(COUNTIF(Raw_HR_Data!$A$2:$A$221,A118)&gt;1,"Duplicate","OK")</x:f>
        <x:v>OK</x:v>
      </x:c>
      <x:c r="E118" s="17" t="str">
        <x:f>IF(B118="","Missing Name","OK")</x:f>
        <x:v>OK</x:v>
      </x:c>
      <x:c r="F118" s="17" t="str">
        <x:f>IF(Raw_HR_Data!F116="","Missing Salary","OK")</x:f>
        <x:v>OK</x:v>
      </x:c>
      <x:c r="G118" s="17" t="str">
        <x:f>IF(AND(Raw_HR_Data!F116&lt;&gt;"",NOT(ISNUMBER(Raw_HR_Data!F116))),"Invalid Salary Type","OK")</x:f>
        <x:v>OK</x:v>
      </x:c>
      <x:c r="H118" s="17" t="str">
        <x:f>IF(Raw_HR_Data!I116&lt;0,"Invalid Deduction","OK")</x:f>
        <x:v>OK</x:v>
      </x:c>
      <x:c r="I118" s="17" t="str">
        <x:f>IF(OR(NOT(ISNUMBER(Raw_HR_Data!F116)),NOT(ISNUMBER(Raw_HR_Data!G116)),NOT(ISNUMBER(Raw_HR_Data!H116)),NOT(ISNUMBER(Raw_HR_Data!I116))),"Check Source Data",IF(Raw_HR_Data!J116=Raw_HR_Data!F116+Raw_HR_Data!G116+Raw_HR_Data!H116-Raw_HR_Data!I116,"OK","Net Pay Error"))</x:f>
        <x:v>OK</x:v>
      </x:c>
      <x:c r="J118" s="17" t="str">
        <x:f>IF(Raw_HR_Data!K116="","Missing Bank Status","OK")</x:f>
        <x:v>OK</x:v>
      </x:c>
      <x:c r="K118" s="17" t="str">
        <x:f>IF(Raw_HR_Data!L116="","Missing PAN","OK")</x:f>
        <x:v>OK</x:v>
      </x:c>
      <x:c r="L118" s="17" t="str">
        <x:f>IF(Raw_HR_Data!M116&gt;31,"Invalid Attendance","OK")</x:f>
        <x:v>OK</x:v>
      </x:c>
      <x:c r="M118" s="17" t="str">
        <x:f>IF(OR(Raw_HR_Data!N116&gt;10,Raw_HR_Data!N116&gt;Raw_HR_Data!M116),"Invalid Leave","OK")</x:f>
        <x:v>OK</x:v>
      </x:c>
      <x:c r="N118" s="17" t="str">
        <x:f>IF(OR(Raw_HR_Data!O116="Processed",Raw_HR_Data!O116="Pending",Raw_HR_Data!O116="Hold"),"OK","Invalid Payroll Status")</x:f>
        <x:v>OK</x:v>
      </x:c>
      <x:c r="O118" s="17">
        <x:f>COUNTIF(D118:N118,"&lt;&gt;OK")-COUNTIF(I118,"Check Source Data")+IF(I118="Check Source Data",1,0)</x:f>
        <x:v>0</x:v>
      </x:c>
      <x:c r="P118" s="17" t="str">
        <x:f>IF(O118=0,"Clean","Error Found")</x:f>
        <x:v>Clean</x:v>
      </x:c>
      <x:c r="Q118" s="18" t="str">
        <x:f>IF(P118="Clean","No action needed","Review raw record and update Validated_Data")</x:f>
        <x:v>No action needed</x:v>
      </x:c>
    </x:row>
    <x:row r="119">
      <x:c r="A119" s="15" t="str">
        <x:f>Raw_HR_Data!A117</x:f>
        <x:v>EMP25435</x:v>
      </x:c>
      <x:c r="B119" s="16" t="str">
        <x:f>Raw_HR_Data!B117</x:f>
        <x:v>Kiran Singh</x:v>
      </x:c>
      <x:c r="C119" s="16" t="str">
        <x:f>Raw_HR_Data!C117</x:f>
        <x:v>Talent Ops</x:v>
      </x:c>
      <x:c r="D119" s="17" t="str">
        <x:f>IF(COUNTIF(Raw_HR_Data!$A$2:$A$221,A119)&gt;1,"Duplicate","OK")</x:f>
        <x:v>OK</x:v>
      </x:c>
      <x:c r="E119" s="17" t="str">
        <x:f>IF(B119="","Missing Name","OK")</x:f>
        <x:v>OK</x:v>
      </x:c>
      <x:c r="F119" s="17" t="str">
        <x:f>IF(Raw_HR_Data!F117="","Missing Salary","OK")</x:f>
        <x:v>OK</x:v>
      </x:c>
      <x:c r="G119" s="17" t="str">
        <x:f>IF(AND(Raw_HR_Data!F117&lt;&gt;"",NOT(ISNUMBER(Raw_HR_Data!F117))),"Invalid Salary Type","OK")</x:f>
        <x:v>OK</x:v>
      </x:c>
      <x:c r="H119" s="17" t="str">
        <x:f>IF(Raw_HR_Data!I117&lt;0,"Invalid Deduction","OK")</x:f>
        <x:v>OK</x:v>
      </x:c>
      <x:c r="I119" s="17" t="str">
        <x:f>IF(OR(NOT(ISNUMBER(Raw_HR_Data!F117)),NOT(ISNUMBER(Raw_HR_Data!G117)),NOT(ISNUMBER(Raw_HR_Data!H117)),NOT(ISNUMBER(Raw_HR_Data!I117))),"Check Source Data",IF(Raw_HR_Data!J117=Raw_HR_Data!F117+Raw_HR_Data!G117+Raw_HR_Data!H117-Raw_HR_Data!I117,"OK","Net Pay Error"))</x:f>
        <x:v>OK</x:v>
      </x:c>
      <x:c r="J119" s="17" t="str">
        <x:f>IF(Raw_HR_Data!K117="","Missing Bank Status","OK")</x:f>
        <x:v>OK</x:v>
      </x:c>
      <x:c r="K119" s="17" t="str">
        <x:f>IF(Raw_HR_Data!L117="","Missing PAN","OK")</x:f>
        <x:v>OK</x:v>
      </x:c>
      <x:c r="L119" s="17" t="str">
        <x:f>IF(Raw_HR_Data!M117&gt;31,"Invalid Attendance","OK")</x:f>
        <x:v>OK</x:v>
      </x:c>
      <x:c r="M119" s="17" t="str">
        <x:f>IF(OR(Raw_HR_Data!N117&gt;10,Raw_HR_Data!N117&gt;Raw_HR_Data!M117),"Invalid Leave","OK")</x:f>
        <x:v>OK</x:v>
      </x:c>
      <x:c r="N119" s="17" t="str">
        <x:f>IF(OR(Raw_HR_Data!O117="Processed",Raw_HR_Data!O117="Pending",Raw_HR_Data!O117="Hold"),"OK","Invalid Payroll Status")</x:f>
        <x:v>OK</x:v>
      </x:c>
      <x:c r="O119" s="17">
        <x:f>COUNTIF(D119:N119,"&lt;&gt;OK")-COUNTIF(I119,"Check Source Data")+IF(I119="Check Source Data",1,0)</x:f>
        <x:v>0</x:v>
      </x:c>
      <x:c r="P119" s="17" t="str">
        <x:f>IF(O119=0,"Clean","Error Found")</x:f>
        <x:v>Clean</x:v>
      </x:c>
      <x:c r="Q119" s="18" t="str">
        <x:f>IF(P119="Clean","No action needed","Review raw record and update Validated_Data")</x:f>
        <x:v>No action needed</x:v>
      </x:c>
    </x:row>
    <x:row r="120">
      <x:c r="A120" s="15" t="str">
        <x:f>Raw_HR_Data!A118</x:f>
        <x:v>EMP68341</x:v>
      </x:c>
      <x:c r="B120" s="16" t="str">
        <x:f>Raw_HR_Data!B118</x:f>
        <x:v>Arjun Taylor</x:v>
      </x:c>
      <x:c r="C120" s="16" t="str">
        <x:f>Raw_HR_Data!C118</x:f>
        <x:v>IT Support</x:v>
      </x:c>
      <x:c r="D120" s="17" t="str">
        <x:f>IF(COUNTIF(Raw_HR_Data!$A$2:$A$221,A120)&gt;1,"Duplicate","OK")</x:f>
        <x:v>OK</x:v>
      </x:c>
      <x:c r="E120" s="17" t="str">
        <x:f>IF(B120="","Missing Name","OK")</x:f>
        <x:v>OK</x:v>
      </x:c>
      <x:c r="F120" s="17" t="str">
        <x:f>IF(Raw_HR_Data!F118="","Missing Salary","OK")</x:f>
        <x:v>OK</x:v>
      </x:c>
      <x:c r="G120" s="17" t="str">
        <x:f>IF(AND(Raw_HR_Data!F118&lt;&gt;"",NOT(ISNUMBER(Raw_HR_Data!F118))),"Invalid Salary Type","OK")</x:f>
        <x:v>OK</x:v>
      </x:c>
      <x:c r="H120" s="17" t="str">
        <x:f>IF(Raw_HR_Data!I118&lt;0,"Invalid Deduction","OK")</x:f>
        <x:v>OK</x:v>
      </x:c>
      <x:c r="I120" s="17" t="str">
        <x:f>IF(OR(NOT(ISNUMBER(Raw_HR_Data!F118)),NOT(ISNUMBER(Raw_HR_Data!G118)),NOT(ISNUMBER(Raw_HR_Data!H118)),NOT(ISNUMBER(Raw_HR_Data!I118))),"Check Source Data",IF(Raw_HR_Data!J118=Raw_HR_Data!F118+Raw_HR_Data!G118+Raw_HR_Data!H118-Raw_HR_Data!I118,"OK","Net Pay Error"))</x:f>
        <x:v>OK</x:v>
      </x:c>
      <x:c r="J120" s="17" t="str">
        <x:f>IF(Raw_HR_Data!K118="","Missing Bank Status","OK")</x:f>
        <x:v>OK</x:v>
      </x:c>
      <x:c r="K120" s="17" t="str">
        <x:f>IF(Raw_HR_Data!L118="","Missing PAN","OK")</x:f>
        <x:v>OK</x:v>
      </x:c>
      <x:c r="L120" s="17" t="str">
        <x:f>IF(Raw_HR_Data!M118&gt;31,"Invalid Attendance","OK")</x:f>
        <x:v>OK</x:v>
      </x:c>
      <x:c r="M120" s="17" t="str">
        <x:f>IF(OR(Raw_HR_Data!N118&gt;10,Raw_HR_Data!N118&gt;Raw_HR_Data!M118),"Invalid Leave","OK")</x:f>
        <x:v>OK</x:v>
      </x:c>
      <x:c r="N120" s="17" t="str">
        <x:f>IF(OR(Raw_HR_Data!O118="Processed",Raw_HR_Data!O118="Pending",Raw_HR_Data!O118="Hold"),"OK","Invalid Payroll Status")</x:f>
        <x:v>OK</x:v>
      </x:c>
      <x:c r="O120" s="17">
        <x:f>COUNTIF(D120:N120,"&lt;&gt;OK")-COUNTIF(I120,"Check Source Data")+IF(I120="Check Source Data",1,0)</x:f>
        <x:v>0</x:v>
      </x:c>
      <x:c r="P120" s="17" t="str">
        <x:f>IF(O120=0,"Clean","Error Found")</x:f>
        <x:v>Clean</x:v>
      </x:c>
      <x:c r="Q120" s="18" t="str">
        <x:f>IF(P120="Clean","No action needed","Review raw record and update Validated_Data")</x:f>
        <x:v>No action needed</x:v>
      </x:c>
    </x:row>
    <x:row r="121">
      <x:c r="A121" s="15" t="str">
        <x:f>Raw_HR_Data!A119</x:f>
        <x:v>EMP25907</x:v>
      </x:c>
      <x:c r="B121" s="16" t="str">
        <x:f>Raw_HR_Data!B119</x:f>
        <x:v>Henry Taylor</x:v>
      </x:c>
      <x:c r="C121" s="16" t="str">
        <x:f>Raw_HR_Data!C119</x:f>
        <x:v>Finance Ops</x:v>
      </x:c>
      <x:c r="D121" s="17" t="str">
        <x:f>IF(COUNTIF(Raw_HR_Data!$A$2:$A$221,A121)&gt;1,"Duplicate","OK")</x:f>
        <x:v>OK</x:v>
      </x:c>
      <x:c r="E121" s="17" t="str">
        <x:f>IF(B121="","Missing Name","OK")</x:f>
        <x:v>OK</x:v>
      </x:c>
      <x:c r="F121" s="17" t="str">
        <x:f>IF(Raw_HR_Data!F119="","Missing Salary","OK")</x:f>
        <x:v>OK</x:v>
      </x:c>
      <x:c r="G121" s="17" t="str">
        <x:f>IF(AND(Raw_HR_Data!F119&lt;&gt;"",NOT(ISNUMBER(Raw_HR_Data!F119))),"Invalid Salary Type","OK")</x:f>
        <x:v>OK</x:v>
      </x:c>
      <x:c r="H121" s="17" t="str">
        <x:f>IF(Raw_HR_Data!I119&lt;0,"Invalid Deduction","OK")</x:f>
        <x:v>OK</x:v>
      </x:c>
      <x:c r="I121" s="17" t="str">
        <x:f>IF(OR(NOT(ISNUMBER(Raw_HR_Data!F119)),NOT(ISNUMBER(Raw_HR_Data!G119)),NOT(ISNUMBER(Raw_HR_Data!H119)),NOT(ISNUMBER(Raw_HR_Data!I119))),"Check Source Data",IF(Raw_HR_Data!J119=Raw_HR_Data!F119+Raw_HR_Data!G119+Raw_HR_Data!H119-Raw_HR_Data!I119,"OK","Net Pay Error"))</x:f>
        <x:v>OK</x:v>
      </x:c>
      <x:c r="J121" s="17" t="str">
        <x:f>IF(Raw_HR_Data!K119="","Missing Bank Status","OK")</x:f>
        <x:v>OK</x:v>
      </x:c>
      <x:c r="K121" s="17" t="str">
        <x:f>IF(Raw_HR_Data!L119="","Missing PAN","OK")</x:f>
        <x:v>OK</x:v>
      </x:c>
      <x:c r="L121" s="17" t="str">
        <x:f>IF(Raw_HR_Data!M119&gt;31,"Invalid Attendance","OK")</x:f>
        <x:v>OK</x:v>
      </x:c>
      <x:c r="M121" s="17" t="str">
        <x:f>IF(OR(Raw_HR_Data!N119&gt;10,Raw_HR_Data!N119&gt;Raw_HR_Data!M119),"Invalid Leave","OK")</x:f>
        <x:v>OK</x:v>
      </x:c>
      <x:c r="N121" s="17" t="str">
        <x:f>IF(OR(Raw_HR_Data!O119="Processed",Raw_HR_Data!O119="Pending",Raw_HR_Data!O119="Hold"),"OK","Invalid Payroll Status")</x:f>
        <x:v>OK</x:v>
      </x:c>
      <x:c r="O121" s="17">
        <x:f>COUNTIF(D121:N121,"&lt;&gt;OK")-COUNTIF(I121,"Check Source Data")+IF(I121="Check Source Data",1,0)</x:f>
        <x:v>0</x:v>
      </x:c>
      <x:c r="P121" s="17" t="str">
        <x:f>IF(O121=0,"Clean","Error Found")</x:f>
        <x:v>Clean</x:v>
      </x:c>
      <x:c r="Q121" s="18" t="str">
        <x:f>IF(P121="Clean","No action needed","Review raw record and update Validated_Data")</x:f>
        <x:v>No action needed</x:v>
      </x:c>
    </x:row>
    <x:row r="122">
      <x:c r="A122" s="15" t="str">
        <x:f>Raw_HR_Data!A120</x:f>
        <x:v>EMP62187</x:v>
      </x:c>
      <x:c r="B122" s="16" t="str">
        <x:f>Raw_HR_Data!B120</x:f>
        <x:v>William Moore</x:v>
      </x:c>
      <x:c r="C122" s="16" t="str">
        <x:f>Raw_HR_Data!C120</x:f>
        <x:v>Risk Advisory</x:v>
      </x:c>
      <x:c r="D122" s="17" t="str">
        <x:f>IF(COUNTIF(Raw_HR_Data!$A$2:$A$221,A122)&gt;1,"Duplicate","OK")</x:f>
        <x:v>OK</x:v>
      </x:c>
      <x:c r="E122" s="17" t="str">
        <x:f>IF(B122="","Missing Name","OK")</x:f>
        <x:v>OK</x:v>
      </x:c>
      <x:c r="F122" s="17" t="str">
        <x:f>IF(Raw_HR_Data!F120="","Missing Salary","OK")</x:f>
        <x:v>Missing Salary</x:v>
      </x:c>
      <x:c r="G122" s="17" t="str">
        <x:f>IF(AND(Raw_HR_Data!F120&lt;&gt;"",NOT(ISNUMBER(Raw_HR_Data!F120))),"Invalid Salary Type","OK")</x:f>
        <x:v>OK</x:v>
      </x:c>
      <x:c r="H122" s="17" t="str">
        <x:f>IF(Raw_HR_Data!I120&lt;0,"Invalid Deduction","OK")</x:f>
        <x:v>OK</x:v>
      </x:c>
      <x:c r="I122" s="17" t="str">
        <x:f>IF(OR(NOT(ISNUMBER(Raw_HR_Data!F120)),NOT(ISNUMBER(Raw_HR_Data!G120)),NOT(ISNUMBER(Raw_HR_Data!H120)),NOT(ISNUMBER(Raw_HR_Data!I120))),"Check Source Data",IF(Raw_HR_Data!J120=Raw_HR_Data!F120+Raw_HR_Data!G120+Raw_HR_Data!H120-Raw_HR_Data!I120,"OK","Net Pay Error"))</x:f>
        <x:v>Check Source Data</x:v>
      </x:c>
      <x:c r="J122" s="17" t="str">
        <x:f>IF(Raw_HR_Data!K120="","Missing Bank Status","OK")</x:f>
        <x:v>OK</x:v>
      </x:c>
      <x:c r="K122" s="17" t="str">
        <x:f>IF(Raw_HR_Data!L120="","Missing PAN","OK")</x:f>
        <x:v>OK</x:v>
      </x:c>
      <x:c r="L122" s="17" t="str">
        <x:f>IF(Raw_HR_Data!M120&gt;31,"Invalid Attendance","OK")</x:f>
        <x:v>OK</x:v>
      </x:c>
      <x:c r="M122" s="17" t="str">
        <x:f>IF(OR(Raw_HR_Data!N120&gt;10,Raw_HR_Data!N120&gt;Raw_HR_Data!M120),"Invalid Leave","OK")</x:f>
        <x:v>OK</x:v>
      </x:c>
      <x:c r="N122" s="17" t="str">
        <x:f>IF(OR(Raw_HR_Data!O120="Processed",Raw_HR_Data!O120="Pending",Raw_HR_Data!O120="Hold"),"OK","Invalid Payroll Status")</x:f>
        <x:v>OK</x:v>
      </x:c>
      <x:c r="O122" s="17">
        <x:f>COUNTIF(D122:N122,"&lt;&gt;OK")-COUNTIF(I122,"Check Source Data")+IF(I122="Check Source Data",1,0)</x:f>
        <x:v>2</x:v>
      </x:c>
      <x:c r="P122" s="17" t="str">
        <x:f>IF(O122=0,"Clean","Error Found")</x:f>
        <x:v>Error Found</x:v>
      </x:c>
      <x:c r="Q122" s="18" t="str">
        <x:f>IF(P122="Clean","No action needed","Review raw record and update Validated_Data")</x:f>
        <x:v>Review raw record and update Validated_Data</x:v>
      </x:c>
    </x:row>
    <x:row r="123">
      <x:c r="A123" s="15" t="str">
        <x:f>Raw_HR_Data!A121</x:f>
        <x:v>EMP33850</x:v>
      </x:c>
      <x:c r="B123" s="16" t="str">
        <x:f>Raw_HR_Data!B121</x:f>
        <x:v>Divya Martin</x:v>
      </x:c>
      <x:c r="C123" s="16" t="str">
        <x:f>Raw_HR_Data!C121</x:f>
        <x:v>Tax Support</x:v>
      </x:c>
      <x:c r="D123" s="17" t="str">
        <x:f>IF(COUNTIF(Raw_HR_Data!$A$2:$A$221,A123)&gt;1,"Duplicate","OK")</x:f>
        <x:v>OK</x:v>
      </x:c>
      <x:c r="E123" s="17" t="str">
        <x:f>IF(B123="","Missing Name","OK")</x:f>
        <x:v>OK</x:v>
      </x:c>
      <x:c r="F123" s="17" t="str">
        <x:f>IF(Raw_HR_Data!F121="","Missing Salary","OK")</x:f>
        <x:v>OK</x:v>
      </x:c>
      <x:c r="G123" s="17" t="str">
        <x:f>IF(AND(Raw_HR_Data!F121&lt;&gt;"",NOT(ISNUMBER(Raw_HR_Data!F121))),"Invalid Salary Type","OK")</x:f>
        <x:v>OK</x:v>
      </x:c>
      <x:c r="H123" s="17" t="str">
        <x:f>IF(Raw_HR_Data!I121&lt;0,"Invalid Deduction","OK")</x:f>
        <x:v>OK</x:v>
      </x:c>
      <x:c r="I123" s="17" t="str">
        <x:f>IF(OR(NOT(ISNUMBER(Raw_HR_Data!F121)),NOT(ISNUMBER(Raw_HR_Data!G121)),NOT(ISNUMBER(Raw_HR_Data!H121)),NOT(ISNUMBER(Raw_HR_Data!I121))),"Check Source Data",IF(Raw_HR_Data!J121=Raw_HR_Data!F121+Raw_HR_Data!G121+Raw_HR_Data!H121-Raw_HR_Data!I121,"OK","Net Pay Error"))</x:f>
        <x:v>OK</x:v>
      </x:c>
      <x:c r="J123" s="17" t="str">
        <x:f>IF(Raw_HR_Data!K121="","Missing Bank Status","OK")</x:f>
        <x:v>OK</x:v>
      </x:c>
      <x:c r="K123" s="17" t="str">
        <x:f>IF(Raw_HR_Data!L121="","Missing PAN","OK")</x:f>
        <x:v>OK</x:v>
      </x:c>
      <x:c r="L123" s="17" t="str">
        <x:f>IF(Raw_HR_Data!M121&gt;31,"Invalid Attendance","OK")</x:f>
        <x:v>OK</x:v>
      </x:c>
      <x:c r="M123" s="17" t="str">
        <x:f>IF(OR(Raw_HR_Data!N121&gt;10,Raw_HR_Data!N121&gt;Raw_HR_Data!M121),"Invalid Leave","OK")</x:f>
        <x:v>OK</x:v>
      </x:c>
      <x:c r="N123" s="17" t="str">
        <x:f>IF(OR(Raw_HR_Data!O121="Processed",Raw_HR_Data!O121="Pending",Raw_HR_Data!O121="Hold"),"OK","Invalid Payroll Status")</x:f>
        <x:v>OK</x:v>
      </x:c>
      <x:c r="O123" s="17">
        <x:f>COUNTIF(D123:N123,"&lt;&gt;OK")-COUNTIF(I123,"Check Source Data")+IF(I123="Check Source Data",1,0)</x:f>
        <x:v>0</x:v>
      </x:c>
      <x:c r="P123" s="17" t="str">
        <x:f>IF(O123=0,"Clean","Error Found")</x:f>
        <x:v>Clean</x:v>
      </x:c>
      <x:c r="Q123" s="18" t="str">
        <x:f>IF(P123="Clean","No action needed","Review raw record and update Validated_Data")</x:f>
        <x:v>No action needed</x:v>
      </x:c>
    </x:row>
    <x:row r="124">
      <x:c r="A124" s="15" t="str">
        <x:f>Raw_HR_Data!A122</x:f>
        <x:v>EMP20336</x:v>
      </x:c>
      <x:c r="B124" s="16" t="str">
        <x:f>Raw_HR_Data!B122</x:f>
        <x:v>Kiran Harris</x:v>
      </x:c>
      <x:c r="C124" s="16" t="str">
        <x:f>Raw_HR_Data!C122</x:f>
        <x:v>Tax Support</x:v>
      </x:c>
      <x:c r="D124" s="17" t="str">
        <x:f>IF(COUNTIF(Raw_HR_Data!$A$2:$A$221,A124)&gt;1,"Duplicate","OK")</x:f>
        <x:v>OK</x:v>
      </x:c>
      <x:c r="E124" s="17" t="str">
        <x:f>IF(B124="","Missing Name","OK")</x:f>
        <x:v>OK</x:v>
      </x:c>
      <x:c r="F124" s="17" t="str">
        <x:f>IF(Raw_HR_Data!F122="","Missing Salary","OK")</x:f>
        <x:v>OK</x:v>
      </x:c>
      <x:c r="G124" s="17" t="str">
        <x:f>IF(AND(Raw_HR_Data!F122&lt;&gt;"",NOT(ISNUMBER(Raw_HR_Data!F122))),"Invalid Salary Type","OK")</x:f>
        <x:v>OK</x:v>
      </x:c>
      <x:c r="H124" s="17" t="str">
        <x:f>IF(Raw_HR_Data!I122&lt;0,"Invalid Deduction","OK")</x:f>
        <x:v>OK</x:v>
      </x:c>
      <x:c r="I124" s="17" t="str">
        <x:f>IF(OR(NOT(ISNUMBER(Raw_HR_Data!F122)),NOT(ISNUMBER(Raw_HR_Data!G122)),NOT(ISNUMBER(Raw_HR_Data!H122)),NOT(ISNUMBER(Raw_HR_Data!I122))),"Check Source Data",IF(Raw_HR_Data!J122=Raw_HR_Data!F122+Raw_HR_Data!G122+Raw_HR_Data!H122-Raw_HR_Data!I122,"OK","Net Pay Error"))</x:f>
        <x:v>Net Pay Error</x:v>
      </x:c>
      <x:c r="J124" s="17" t="str">
        <x:f>IF(Raw_HR_Data!K122="","Missing Bank Status","OK")</x:f>
        <x:v>OK</x:v>
      </x:c>
      <x:c r="K124" s="17" t="str">
        <x:f>IF(Raw_HR_Data!L122="","Missing PAN","OK")</x:f>
        <x:v>OK</x:v>
      </x:c>
      <x:c r="L124" s="17" t="str">
        <x:f>IF(Raw_HR_Data!M122&gt;31,"Invalid Attendance","OK")</x:f>
        <x:v>OK</x:v>
      </x:c>
      <x:c r="M124" s="17" t="str">
        <x:f>IF(OR(Raw_HR_Data!N122&gt;10,Raw_HR_Data!N122&gt;Raw_HR_Data!M122),"Invalid Leave","OK")</x:f>
        <x:v>OK</x:v>
      </x:c>
      <x:c r="N124" s="17" t="str">
        <x:f>IF(OR(Raw_HR_Data!O122="Processed",Raw_HR_Data!O122="Pending",Raw_HR_Data!O122="Hold"),"OK","Invalid Payroll Status")</x:f>
        <x:v>OK</x:v>
      </x:c>
      <x:c r="O124" s="17">
        <x:f>COUNTIF(D124:N124,"&lt;&gt;OK")-COUNTIF(I124,"Check Source Data")+IF(I124="Check Source Data",1,0)</x:f>
        <x:v>1</x:v>
      </x:c>
      <x:c r="P124" s="17" t="str">
        <x:f>IF(O124=0,"Clean","Error Found")</x:f>
        <x:v>Error Found</x:v>
      </x:c>
      <x:c r="Q124" s="18" t="str">
        <x:f>IF(P124="Clean","No action needed","Review raw record and update Validated_Data")</x:f>
        <x:v>Review raw record and update Validated_Data</x:v>
      </x:c>
    </x:row>
    <x:row r="125">
      <x:c r="A125" s="15" t="str">
        <x:f>Raw_HR_Data!A123</x:f>
        <x:v>EMP96341</x:v>
      </x:c>
      <x:c r="B125" s="16" t="str">
        <x:f>Raw_HR_Data!B123</x:f>
        <x:v>Noah Thomas</x:v>
      </x:c>
      <x:c r="C125" s="16" t="str">
        <x:f>Raw_HR_Data!C123</x:f>
        <x:v>Consulting Ops</x:v>
      </x:c>
      <x:c r="D125" s="17" t="str">
        <x:f>IF(COUNTIF(Raw_HR_Data!$A$2:$A$221,A125)&gt;1,"Duplicate","OK")</x:f>
        <x:v>OK</x:v>
      </x:c>
      <x:c r="E125" s="17" t="str">
        <x:f>IF(B125="","Missing Name","OK")</x:f>
        <x:v>OK</x:v>
      </x:c>
      <x:c r="F125" s="17" t="str">
        <x:f>IF(Raw_HR_Data!F123="","Missing Salary","OK")</x:f>
        <x:v>OK</x:v>
      </x:c>
      <x:c r="G125" s="17" t="str">
        <x:f>IF(AND(Raw_HR_Data!F123&lt;&gt;"",NOT(ISNUMBER(Raw_HR_Data!F123))),"Invalid Salary Type","OK")</x:f>
        <x:v>OK</x:v>
      </x:c>
      <x:c r="H125" s="17" t="str">
        <x:f>IF(Raw_HR_Data!I123&lt;0,"Invalid Deduction","OK")</x:f>
        <x:v>OK</x:v>
      </x:c>
      <x:c r="I125" s="17" t="str">
        <x:f>IF(OR(NOT(ISNUMBER(Raw_HR_Data!F123)),NOT(ISNUMBER(Raw_HR_Data!G123)),NOT(ISNUMBER(Raw_HR_Data!H123)),NOT(ISNUMBER(Raw_HR_Data!I123))),"Check Source Data",IF(Raw_HR_Data!J123=Raw_HR_Data!F123+Raw_HR_Data!G123+Raw_HR_Data!H123-Raw_HR_Data!I123,"OK","Net Pay Error"))</x:f>
        <x:v>OK</x:v>
      </x:c>
      <x:c r="J125" s="17" t="str">
        <x:f>IF(Raw_HR_Data!K123="","Missing Bank Status","OK")</x:f>
        <x:v>OK</x:v>
      </x:c>
      <x:c r="K125" s="17" t="str">
        <x:f>IF(Raw_HR_Data!L123="","Missing PAN","OK")</x:f>
        <x:v>OK</x:v>
      </x:c>
      <x:c r="L125" s="17" t="str">
        <x:f>IF(Raw_HR_Data!M123&gt;31,"Invalid Attendance","OK")</x:f>
        <x:v>OK</x:v>
      </x:c>
      <x:c r="M125" s="17" t="str">
        <x:f>IF(OR(Raw_HR_Data!N123&gt;10,Raw_HR_Data!N123&gt;Raw_HR_Data!M123),"Invalid Leave","OK")</x:f>
        <x:v>OK</x:v>
      </x:c>
      <x:c r="N125" s="17" t="str">
        <x:f>IF(OR(Raw_HR_Data!O123="Processed",Raw_HR_Data!O123="Pending",Raw_HR_Data!O123="Hold"),"OK","Invalid Payroll Status")</x:f>
        <x:v>OK</x:v>
      </x:c>
      <x:c r="O125" s="17">
        <x:f>COUNTIF(D125:N125,"&lt;&gt;OK")-COUNTIF(I125,"Check Source Data")+IF(I125="Check Source Data",1,0)</x:f>
        <x:v>0</x:v>
      </x:c>
      <x:c r="P125" s="17" t="str">
        <x:f>IF(O125=0,"Clean","Error Found")</x:f>
        <x:v>Clean</x:v>
      </x:c>
      <x:c r="Q125" s="18" t="str">
        <x:f>IF(P125="Clean","No action needed","Review raw record and update Validated_Data")</x:f>
        <x:v>No action needed</x:v>
      </x:c>
    </x:row>
    <x:row r="126">
      <x:c r="A126" s="15" t="str">
        <x:f>Raw_HR_Data!A124</x:f>
        <x:v>EMP92203</x:v>
      </x:c>
      <x:c r="B126" s="16" t="str">
        <x:f>Raw_HR_Data!B124</x:f>
        <x:v>Lucas Rao</x:v>
      </x:c>
      <x:c r="C126" s="16" t="str">
        <x:f>Raw_HR_Data!C124</x:f>
        <x:v>Talent Ops</x:v>
      </x:c>
      <x:c r="D126" s="17" t="str">
        <x:f>IF(COUNTIF(Raw_HR_Data!$A$2:$A$221,A126)&gt;1,"Duplicate","OK")</x:f>
        <x:v>OK</x:v>
      </x:c>
      <x:c r="E126" s="17" t="str">
        <x:f>IF(B126="","Missing Name","OK")</x:f>
        <x:v>OK</x:v>
      </x:c>
      <x:c r="F126" s="17" t="str">
        <x:f>IF(Raw_HR_Data!F124="","Missing Salary","OK")</x:f>
        <x:v>OK</x:v>
      </x:c>
      <x:c r="G126" s="17" t="str">
        <x:f>IF(AND(Raw_HR_Data!F124&lt;&gt;"",NOT(ISNUMBER(Raw_HR_Data!F124))),"Invalid Salary Type","OK")</x:f>
        <x:v>OK</x:v>
      </x:c>
      <x:c r="H126" s="17" t="str">
        <x:f>IF(Raw_HR_Data!I124&lt;0,"Invalid Deduction","OK")</x:f>
        <x:v>OK</x:v>
      </x:c>
      <x:c r="I126" s="17" t="str">
        <x:f>IF(OR(NOT(ISNUMBER(Raw_HR_Data!F124)),NOT(ISNUMBER(Raw_HR_Data!G124)),NOT(ISNUMBER(Raw_HR_Data!H124)),NOT(ISNUMBER(Raw_HR_Data!I124))),"Check Source Data",IF(Raw_HR_Data!J124=Raw_HR_Data!F124+Raw_HR_Data!G124+Raw_HR_Data!H124-Raw_HR_Data!I124,"OK","Net Pay Error"))</x:f>
        <x:v>OK</x:v>
      </x:c>
      <x:c r="J126" s="17" t="str">
        <x:f>IF(Raw_HR_Data!K124="","Missing Bank Status","OK")</x:f>
        <x:v>OK</x:v>
      </x:c>
      <x:c r="K126" s="17" t="str">
        <x:f>IF(Raw_HR_Data!L124="","Missing PAN","OK")</x:f>
        <x:v>OK</x:v>
      </x:c>
      <x:c r="L126" s="17" t="str">
        <x:f>IF(Raw_HR_Data!M124&gt;31,"Invalid Attendance","OK")</x:f>
        <x:v>OK</x:v>
      </x:c>
      <x:c r="M126" s="17" t="str">
        <x:f>IF(OR(Raw_HR_Data!N124&gt;10,Raw_HR_Data!N124&gt;Raw_HR_Data!M124),"Invalid Leave","OK")</x:f>
        <x:v>OK</x:v>
      </x:c>
      <x:c r="N126" s="17" t="str">
        <x:f>IF(OR(Raw_HR_Data!O124="Processed",Raw_HR_Data!O124="Pending",Raw_HR_Data!O124="Hold"),"OK","Invalid Payroll Status")</x:f>
        <x:v>OK</x:v>
      </x:c>
      <x:c r="O126" s="17">
        <x:f>COUNTIF(D126:N126,"&lt;&gt;OK")-COUNTIF(I126,"Check Source Data")+IF(I126="Check Source Data",1,0)</x:f>
        <x:v>0</x:v>
      </x:c>
      <x:c r="P126" s="17" t="str">
        <x:f>IF(O126=0,"Clean","Error Found")</x:f>
        <x:v>Clean</x:v>
      </x:c>
      <x:c r="Q126" s="18" t="str">
        <x:f>IF(P126="Clean","No action needed","Review raw record and update Validated_Data")</x:f>
        <x:v>No action needed</x:v>
      </x:c>
    </x:row>
    <x:row r="127">
      <x:c r="A127" s="15" t="str">
        <x:f>Raw_HR_Data!A125</x:f>
        <x:v>EMP36741</x:v>
      </x:c>
      <x:c r="B127" s="16" t="str">
        <x:f>Raw_HR_Data!B125</x:f>
        <x:v>Noah Pillai</x:v>
      </x:c>
      <x:c r="C127" s="16" t="str">
        <x:f>Raw_HR_Data!C125</x:f>
        <x:v>Finance Ops</x:v>
      </x:c>
      <x:c r="D127" s="17" t="str">
        <x:f>IF(COUNTIF(Raw_HR_Data!$A$2:$A$221,A127)&gt;1,"Duplicate","OK")</x:f>
        <x:v>OK</x:v>
      </x:c>
      <x:c r="E127" s="17" t="str">
        <x:f>IF(B127="","Missing Name","OK")</x:f>
        <x:v>OK</x:v>
      </x:c>
      <x:c r="F127" s="17" t="str">
        <x:f>IF(Raw_HR_Data!F125="","Missing Salary","OK")</x:f>
        <x:v>OK</x:v>
      </x:c>
      <x:c r="G127" s="17" t="str">
        <x:f>IF(AND(Raw_HR_Data!F125&lt;&gt;"",NOT(ISNUMBER(Raw_HR_Data!F125))),"Invalid Salary Type","OK")</x:f>
        <x:v>OK</x:v>
      </x:c>
      <x:c r="H127" s="17" t="str">
        <x:f>IF(Raw_HR_Data!I125&lt;0,"Invalid Deduction","OK")</x:f>
        <x:v>OK</x:v>
      </x:c>
      <x:c r="I127" s="17" t="str">
        <x:f>IF(OR(NOT(ISNUMBER(Raw_HR_Data!F125)),NOT(ISNUMBER(Raw_HR_Data!G125)),NOT(ISNUMBER(Raw_HR_Data!H125)),NOT(ISNUMBER(Raw_HR_Data!I125))),"Check Source Data",IF(Raw_HR_Data!J125=Raw_HR_Data!F125+Raw_HR_Data!G125+Raw_HR_Data!H125-Raw_HR_Data!I125,"OK","Net Pay Error"))</x:f>
        <x:v>OK</x:v>
      </x:c>
      <x:c r="J127" s="17" t="str">
        <x:f>IF(Raw_HR_Data!K125="","Missing Bank Status","OK")</x:f>
        <x:v>OK</x:v>
      </x:c>
      <x:c r="K127" s="17" t="str">
        <x:f>IF(Raw_HR_Data!L125="","Missing PAN","OK")</x:f>
        <x:v>OK</x:v>
      </x:c>
      <x:c r="L127" s="17" t="str">
        <x:f>IF(Raw_HR_Data!M125&gt;31,"Invalid Attendance","OK")</x:f>
        <x:v>OK</x:v>
      </x:c>
      <x:c r="M127" s="17" t="str">
        <x:f>IF(OR(Raw_HR_Data!N125&gt;10,Raw_HR_Data!N125&gt;Raw_HR_Data!M125),"Invalid Leave","OK")</x:f>
        <x:v>OK</x:v>
      </x:c>
      <x:c r="N127" s="17" t="str">
        <x:f>IF(OR(Raw_HR_Data!O125="Processed",Raw_HR_Data!O125="Pending",Raw_HR_Data!O125="Hold"),"OK","Invalid Payroll Status")</x:f>
        <x:v>OK</x:v>
      </x:c>
      <x:c r="O127" s="17">
        <x:f>COUNTIF(D127:N127,"&lt;&gt;OK")-COUNTIF(I127,"Check Source Data")+IF(I127="Check Source Data",1,0)</x:f>
        <x:v>0</x:v>
      </x:c>
      <x:c r="P127" s="17" t="str">
        <x:f>IF(O127=0,"Clean","Error Found")</x:f>
        <x:v>Clean</x:v>
      </x:c>
      <x:c r="Q127" s="18" t="str">
        <x:f>IF(P127="Clean","No action needed","Review raw record and update Validated_Data")</x:f>
        <x:v>No action needed</x:v>
      </x:c>
    </x:row>
    <x:row r="128">
      <x:c r="A128" s="15" t="str">
        <x:f>Raw_HR_Data!A126</x:f>
        <x:v>EMP45058</x:v>
      </x:c>
      <x:c r="B128" s="16" t="str">
        <x:f>Raw_HR_Data!B126</x:f>
        <x:v>Sophie Iyer</x:v>
      </x:c>
      <x:c r="C128" s="16" t="str">
        <x:f>Raw_HR_Data!C126</x:f>
        <x:v>Finance Ops</x:v>
      </x:c>
      <x:c r="D128" s="17" t="str">
        <x:f>IF(COUNTIF(Raw_HR_Data!$A$2:$A$221,A128)&gt;1,"Duplicate","OK")</x:f>
        <x:v>OK</x:v>
      </x:c>
      <x:c r="E128" s="17" t="str">
        <x:f>IF(B128="","Missing Name","OK")</x:f>
        <x:v>OK</x:v>
      </x:c>
      <x:c r="F128" s="17" t="str">
        <x:f>IF(Raw_HR_Data!F126="","Missing Salary","OK")</x:f>
        <x:v>OK</x:v>
      </x:c>
      <x:c r="G128" s="17" t="str">
        <x:f>IF(AND(Raw_HR_Data!F126&lt;&gt;"",NOT(ISNUMBER(Raw_HR_Data!F126))),"Invalid Salary Type","OK")</x:f>
        <x:v>OK</x:v>
      </x:c>
      <x:c r="H128" s="17" t="str">
        <x:f>IF(Raw_HR_Data!I126&lt;0,"Invalid Deduction","OK")</x:f>
        <x:v>OK</x:v>
      </x:c>
      <x:c r="I128" s="17" t="str">
        <x:f>IF(OR(NOT(ISNUMBER(Raw_HR_Data!F126)),NOT(ISNUMBER(Raw_HR_Data!G126)),NOT(ISNUMBER(Raw_HR_Data!H126)),NOT(ISNUMBER(Raw_HR_Data!I126))),"Check Source Data",IF(Raw_HR_Data!J126=Raw_HR_Data!F126+Raw_HR_Data!G126+Raw_HR_Data!H126-Raw_HR_Data!I126,"OK","Net Pay Error"))</x:f>
        <x:v>OK</x:v>
      </x:c>
      <x:c r="J128" s="17" t="str">
        <x:f>IF(Raw_HR_Data!K126="","Missing Bank Status","OK")</x:f>
        <x:v>OK</x:v>
      </x:c>
      <x:c r="K128" s="17" t="str">
        <x:f>IF(Raw_HR_Data!L126="","Missing PAN","OK")</x:f>
        <x:v>OK</x:v>
      </x:c>
      <x:c r="L128" s="17" t="str">
        <x:f>IF(Raw_HR_Data!M126&gt;31,"Invalid Attendance","OK")</x:f>
        <x:v>OK</x:v>
      </x:c>
      <x:c r="M128" s="17" t="str">
        <x:f>IF(OR(Raw_HR_Data!N126&gt;10,Raw_HR_Data!N126&gt;Raw_HR_Data!M126),"Invalid Leave","OK")</x:f>
        <x:v>OK</x:v>
      </x:c>
      <x:c r="N128" s="17" t="str">
        <x:f>IF(OR(Raw_HR_Data!O126="Processed",Raw_HR_Data!O126="Pending",Raw_HR_Data!O126="Hold"),"OK","Invalid Payroll Status")</x:f>
        <x:v>OK</x:v>
      </x:c>
      <x:c r="O128" s="17">
        <x:f>COUNTIF(D128:N128,"&lt;&gt;OK")-COUNTIF(I128,"Check Source Data")+IF(I128="Check Source Data",1,0)</x:f>
        <x:v>0</x:v>
      </x:c>
      <x:c r="P128" s="17" t="str">
        <x:f>IF(O128=0,"Clean","Error Found")</x:f>
        <x:v>Clean</x:v>
      </x:c>
      <x:c r="Q128" s="18" t="str">
        <x:f>IF(P128="Clean","No action needed","Review raw record and update Validated_Data")</x:f>
        <x:v>No action needed</x:v>
      </x:c>
    </x:row>
    <x:row r="129">
      <x:c r="A129" s="15" t="str">
        <x:f>Raw_HR_Data!A127</x:f>
        <x:v>EMP77466</x:v>
      </x:c>
      <x:c r="B129" s="16" t="str">
        <x:f>Raw_HR_Data!B127</x:f>
        <x:v>Vikram Miller</x:v>
      </x:c>
      <x:c r="C129" s="16" t="str">
        <x:f>Raw_HR_Data!C127</x:f>
        <x:v>Talent Ops</x:v>
      </x:c>
      <x:c r="D129" s="17" t="str">
        <x:f>IF(COUNTIF(Raw_HR_Data!$A$2:$A$221,A129)&gt;1,"Duplicate","OK")</x:f>
        <x:v>OK</x:v>
      </x:c>
      <x:c r="E129" s="17" t="str">
        <x:f>IF(B129="","Missing Name","OK")</x:f>
        <x:v>OK</x:v>
      </x:c>
      <x:c r="F129" s="17" t="str">
        <x:f>IF(Raw_HR_Data!F127="","Missing Salary","OK")</x:f>
        <x:v>OK</x:v>
      </x:c>
      <x:c r="G129" s="17" t="str">
        <x:f>IF(AND(Raw_HR_Data!F127&lt;&gt;"",NOT(ISNUMBER(Raw_HR_Data!F127))),"Invalid Salary Type","OK")</x:f>
        <x:v>OK</x:v>
      </x:c>
      <x:c r="H129" s="17" t="str">
        <x:f>IF(Raw_HR_Data!I127&lt;0,"Invalid Deduction","OK")</x:f>
        <x:v>OK</x:v>
      </x:c>
      <x:c r="I129" s="17" t="str">
        <x:f>IF(OR(NOT(ISNUMBER(Raw_HR_Data!F127)),NOT(ISNUMBER(Raw_HR_Data!G127)),NOT(ISNUMBER(Raw_HR_Data!H127)),NOT(ISNUMBER(Raw_HR_Data!I127))),"Check Source Data",IF(Raw_HR_Data!J127=Raw_HR_Data!F127+Raw_HR_Data!G127+Raw_HR_Data!H127-Raw_HR_Data!I127,"OK","Net Pay Error"))</x:f>
        <x:v>OK</x:v>
      </x:c>
      <x:c r="J129" s="17" t="str">
        <x:f>IF(Raw_HR_Data!K127="","Missing Bank Status","OK")</x:f>
        <x:v>OK</x:v>
      </x:c>
      <x:c r="K129" s="17" t="str">
        <x:f>IF(Raw_HR_Data!L127="","Missing PAN","OK")</x:f>
        <x:v>OK</x:v>
      </x:c>
      <x:c r="L129" s="17" t="str">
        <x:f>IF(Raw_HR_Data!M127&gt;31,"Invalid Attendance","OK")</x:f>
        <x:v>OK</x:v>
      </x:c>
      <x:c r="M129" s="17" t="str">
        <x:f>IF(OR(Raw_HR_Data!N127&gt;10,Raw_HR_Data!N127&gt;Raw_HR_Data!M127),"Invalid Leave","OK")</x:f>
        <x:v>OK</x:v>
      </x:c>
      <x:c r="N129" s="17" t="str">
        <x:f>IF(OR(Raw_HR_Data!O127="Processed",Raw_HR_Data!O127="Pending",Raw_HR_Data!O127="Hold"),"OK","Invalid Payroll Status")</x:f>
        <x:v>OK</x:v>
      </x:c>
      <x:c r="O129" s="17">
        <x:f>COUNTIF(D129:N129,"&lt;&gt;OK")-COUNTIF(I129,"Check Source Data")+IF(I129="Check Source Data",1,0)</x:f>
        <x:v>0</x:v>
      </x:c>
      <x:c r="P129" s="17" t="str">
        <x:f>IF(O129=0,"Clean","Error Found")</x:f>
        <x:v>Clean</x:v>
      </x:c>
      <x:c r="Q129" s="18" t="str">
        <x:f>IF(P129="Clean","No action needed","Review raw record and update Validated_Data")</x:f>
        <x:v>No action needed</x:v>
      </x:c>
    </x:row>
    <x:row r="130">
      <x:c r="A130" s="15" t="str">
        <x:f>Raw_HR_Data!A128</x:f>
        <x:v>EMP88317</x:v>
      </x:c>
      <x:c r="B130" s="16" t="str">
        <x:f>Raw_HR_Data!B128</x:f>
        <x:v>William Johnson</x:v>
      </x:c>
      <x:c r="C130" s="16" t="str">
        <x:f>Raw_HR_Data!C128</x:f>
        <x:v>Tax Support</x:v>
      </x:c>
      <x:c r="D130" s="17" t="str">
        <x:f>IF(COUNTIF(Raw_HR_Data!$A$2:$A$221,A130)&gt;1,"Duplicate","OK")</x:f>
        <x:v>OK</x:v>
      </x:c>
      <x:c r="E130" s="17" t="str">
        <x:f>IF(B130="","Missing Name","OK")</x:f>
        <x:v>OK</x:v>
      </x:c>
      <x:c r="F130" s="17" t="str">
        <x:f>IF(Raw_HR_Data!F128="","Missing Salary","OK")</x:f>
        <x:v>OK</x:v>
      </x:c>
      <x:c r="G130" s="17" t="str">
        <x:f>IF(AND(Raw_HR_Data!F128&lt;&gt;"",NOT(ISNUMBER(Raw_HR_Data!F128))),"Invalid Salary Type","OK")</x:f>
        <x:v>OK</x:v>
      </x:c>
      <x:c r="H130" s="17" t="str">
        <x:f>IF(Raw_HR_Data!I128&lt;0,"Invalid Deduction","OK")</x:f>
        <x:v>OK</x:v>
      </x:c>
      <x:c r="I130" s="17" t="str">
        <x:f>IF(OR(NOT(ISNUMBER(Raw_HR_Data!F128)),NOT(ISNUMBER(Raw_HR_Data!G128)),NOT(ISNUMBER(Raw_HR_Data!H128)),NOT(ISNUMBER(Raw_HR_Data!I128))),"Check Source Data",IF(Raw_HR_Data!J128=Raw_HR_Data!F128+Raw_HR_Data!G128+Raw_HR_Data!H128-Raw_HR_Data!I128,"OK","Net Pay Error"))</x:f>
        <x:v>OK</x:v>
      </x:c>
      <x:c r="J130" s="17" t="str">
        <x:f>IF(Raw_HR_Data!K128="","Missing Bank Status","OK")</x:f>
        <x:v>OK</x:v>
      </x:c>
      <x:c r="K130" s="17" t="str">
        <x:f>IF(Raw_HR_Data!L128="","Missing PAN","OK")</x:f>
        <x:v>OK</x:v>
      </x:c>
      <x:c r="L130" s="17" t="str">
        <x:f>IF(Raw_HR_Data!M128&gt;31,"Invalid Attendance","OK")</x:f>
        <x:v>OK</x:v>
      </x:c>
      <x:c r="M130" s="17" t="str">
        <x:f>IF(OR(Raw_HR_Data!N128&gt;10,Raw_HR_Data!N128&gt;Raw_HR_Data!M128),"Invalid Leave","OK")</x:f>
        <x:v>OK</x:v>
      </x:c>
      <x:c r="N130" s="17" t="str">
        <x:f>IF(OR(Raw_HR_Data!O128="Processed",Raw_HR_Data!O128="Pending",Raw_HR_Data!O128="Hold"),"OK","Invalid Payroll Status")</x:f>
        <x:v>OK</x:v>
      </x:c>
      <x:c r="O130" s="17">
        <x:f>COUNTIF(D130:N130,"&lt;&gt;OK")-COUNTIF(I130,"Check Source Data")+IF(I130="Check Source Data",1,0)</x:f>
        <x:v>0</x:v>
      </x:c>
      <x:c r="P130" s="17" t="str">
        <x:f>IF(O130=0,"Clean","Error Found")</x:f>
        <x:v>Clean</x:v>
      </x:c>
      <x:c r="Q130" s="18" t="str">
        <x:f>IF(P130="Clean","No action needed","Review raw record and update Validated_Data")</x:f>
        <x:v>No action needed</x:v>
      </x:c>
    </x:row>
    <x:row r="131">
      <x:c r="A131" s="15" t="str">
        <x:f>Raw_HR_Data!A129</x:f>
        <x:v>EMP83638</x:v>
      </x:c>
      <x:c r="B131" s="16" t="str">
        <x:f>Raw_HR_Data!B129</x:f>
        <x:v>Henry Kumar</x:v>
      </x:c>
      <x:c r="C131" s="16" t="str">
        <x:f>Raw_HR_Data!C129</x:f>
        <x:v>Tax Support</x:v>
      </x:c>
      <x:c r="D131" s="17" t="str">
        <x:f>IF(COUNTIF(Raw_HR_Data!$A$2:$A$221,A131)&gt;1,"Duplicate","OK")</x:f>
        <x:v>OK</x:v>
      </x:c>
      <x:c r="E131" s="17" t="str">
        <x:f>IF(B131="","Missing Name","OK")</x:f>
        <x:v>OK</x:v>
      </x:c>
      <x:c r="F131" s="17" t="str">
        <x:f>IF(Raw_HR_Data!F129="","Missing Salary","OK")</x:f>
        <x:v>OK</x:v>
      </x:c>
      <x:c r="G131" s="17" t="str">
        <x:f>IF(AND(Raw_HR_Data!F129&lt;&gt;"",NOT(ISNUMBER(Raw_HR_Data!F129))),"Invalid Salary Type","OK")</x:f>
        <x:v>OK</x:v>
      </x:c>
      <x:c r="H131" s="17" t="str">
        <x:f>IF(Raw_HR_Data!I129&lt;0,"Invalid Deduction","OK")</x:f>
        <x:v>OK</x:v>
      </x:c>
      <x:c r="I131" s="17" t="str">
        <x:f>IF(OR(NOT(ISNUMBER(Raw_HR_Data!F129)),NOT(ISNUMBER(Raw_HR_Data!G129)),NOT(ISNUMBER(Raw_HR_Data!H129)),NOT(ISNUMBER(Raw_HR_Data!I129))),"Check Source Data",IF(Raw_HR_Data!J129=Raw_HR_Data!F129+Raw_HR_Data!G129+Raw_HR_Data!H129-Raw_HR_Data!I129,"OK","Net Pay Error"))</x:f>
        <x:v>OK</x:v>
      </x:c>
      <x:c r="J131" s="17" t="str">
        <x:f>IF(Raw_HR_Data!K129="","Missing Bank Status","OK")</x:f>
        <x:v>OK</x:v>
      </x:c>
      <x:c r="K131" s="17" t="str">
        <x:f>IF(Raw_HR_Data!L129="","Missing PAN","OK")</x:f>
        <x:v>OK</x:v>
      </x:c>
      <x:c r="L131" s="17" t="str">
        <x:f>IF(Raw_HR_Data!M129&gt;31,"Invalid Attendance","OK")</x:f>
        <x:v>OK</x:v>
      </x:c>
      <x:c r="M131" s="17" t="str">
        <x:f>IF(OR(Raw_HR_Data!N129&gt;10,Raw_HR_Data!N129&gt;Raw_HR_Data!M129),"Invalid Leave","OK")</x:f>
        <x:v>OK</x:v>
      </x:c>
      <x:c r="N131" s="17" t="str">
        <x:f>IF(OR(Raw_HR_Data!O129="Processed",Raw_HR_Data!O129="Pending",Raw_HR_Data!O129="Hold"),"OK","Invalid Payroll Status")</x:f>
        <x:v>OK</x:v>
      </x:c>
      <x:c r="O131" s="17">
        <x:f>COUNTIF(D131:N131,"&lt;&gt;OK")-COUNTIF(I131,"Check Source Data")+IF(I131="Check Source Data",1,0)</x:f>
        <x:v>0</x:v>
      </x:c>
      <x:c r="P131" s="17" t="str">
        <x:f>IF(O131=0,"Clean","Error Found")</x:f>
        <x:v>Clean</x:v>
      </x:c>
      <x:c r="Q131" s="18" t="str">
        <x:f>IF(P131="Clean","No action needed","Review raw record and update Validated_Data")</x:f>
        <x:v>No action needed</x:v>
      </x:c>
    </x:row>
    <x:row r="132">
      <x:c r="A132" s="15" t="str">
        <x:f>Raw_HR_Data!A130</x:f>
        <x:v>EMP78125</x:v>
      </x:c>
      <x:c r="B132" s="16" t="str">
        <x:f>Raw_HR_Data!B130</x:f>
        <x:v>Pooja Singh</x:v>
      </x:c>
      <x:c r="C132" s="16" t="str">
        <x:f>Raw_HR_Data!C130</x:f>
        <x:v>Finance Ops</x:v>
      </x:c>
      <x:c r="D132" s="17" t="str">
        <x:f>IF(COUNTIF(Raw_HR_Data!$A$2:$A$221,A132)&gt;1,"Duplicate","OK")</x:f>
        <x:v>Duplicate</x:v>
      </x:c>
      <x:c r="E132" s="17" t="str">
        <x:f>IF(B132="","Missing Name","OK")</x:f>
        <x:v>OK</x:v>
      </x:c>
      <x:c r="F132" s="17" t="str">
        <x:f>IF(Raw_HR_Data!F130="","Missing Salary","OK")</x:f>
        <x:v>OK</x:v>
      </x:c>
      <x:c r="G132" s="17" t="str">
        <x:f>IF(AND(Raw_HR_Data!F130&lt;&gt;"",NOT(ISNUMBER(Raw_HR_Data!F130))),"Invalid Salary Type","OK")</x:f>
        <x:v>OK</x:v>
      </x:c>
      <x:c r="H132" s="17" t="str">
        <x:f>IF(Raw_HR_Data!I130&lt;0,"Invalid Deduction","OK")</x:f>
        <x:v>OK</x:v>
      </x:c>
      <x:c r="I132" s="17" t="str">
        <x:f>IF(OR(NOT(ISNUMBER(Raw_HR_Data!F130)),NOT(ISNUMBER(Raw_HR_Data!G130)),NOT(ISNUMBER(Raw_HR_Data!H130)),NOT(ISNUMBER(Raw_HR_Data!I130))),"Check Source Data",IF(Raw_HR_Data!J130=Raw_HR_Data!F130+Raw_HR_Data!G130+Raw_HR_Data!H130-Raw_HR_Data!I130,"OK","Net Pay Error"))</x:f>
        <x:v>OK</x:v>
      </x:c>
      <x:c r="J132" s="17" t="str">
        <x:f>IF(Raw_HR_Data!K130="","Missing Bank Status","OK")</x:f>
        <x:v>OK</x:v>
      </x:c>
      <x:c r="K132" s="17" t="str">
        <x:f>IF(Raw_HR_Data!L130="","Missing PAN","OK")</x:f>
        <x:v>OK</x:v>
      </x:c>
      <x:c r="L132" s="17" t="str">
        <x:f>IF(Raw_HR_Data!M130&gt;31,"Invalid Attendance","OK")</x:f>
        <x:v>OK</x:v>
      </x:c>
      <x:c r="M132" s="17" t="str">
        <x:f>IF(OR(Raw_HR_Data!N130&gt;10,Raw_HR_Data!N130&gt;Raw_HR_Data!M130),"Invalid Leave","OK")</x:f>
        <x:v>OK</x:v>
      </x:c>
      <x:c r="N132" s="17" t="str">
        <x:f>IF(OR(Raw_HR_Data!O130="Processed",Raw_HR_Data!O130="Pending",Raw_HR_Data!O130="Hold"),"OK","Invalid Payroll Status")</x:f>
        <x:v>OK</x:v>
      </x:c>
      <x:c r="O132" s="17">
        <x:f>COUNTIF(D132:N132,"&lt;&gt;OK")-COUNTIF(I132,"Check Source Data")+IF(I132="Check Source Data",1,0)</x:f>
        <x:v>1</x:v>
      </x:c>
      <x:c r="P132" s="17" t="str">
        <x:f>IF(O132=0,"Clean","Error Found")</x:f>
        <x:v>Error Found</x:v>
      </x:c>
      <x:c r="Q132" s="18" t="str">
        <x:f>IF(P132="Clean","No action needed","Review raw record and update Validated_Data")</x:f>
        <x:v>Review raw record and update Validated_Data</x:v>
      </x:c>
    </x:row>
    <x:row r="133">
      <x:c r="A133" s="15" t="str">
        <x:f>Raw_HR_Data!A131</x:f>
        <x:v>EMP77568</x:v>
      </x:c>
      <x:c r="B133" s="16" t="str">
        <x:f>Raw_HR_Data!B131</x:f>
        <x:v>Divya Khan</x:v>
      </x:c>
      <x:c r="C133" s="16" t="str">
        <x:f>Raw_HR_Data!C131</x:f>
        <x:v>Consulting Ops</x:v>
      </x:c>
      <x:c r="D133" s="17" t="str">
        <x:f>IF(COUNTIF(Raw_HR_Data!$A$2:$A$221,A133)&gt;1,"Duplicate","OK")</x:f>
        <x:v>OK</x:v>
      </x:c>
      <x:c r="E133" s="17" t="str">
        <x:f>IF(B133="","Missing Name","OK")</x:f>
        <x:v>OK</x:v>
      </x:c>
      <x:c r="F133" s="17" t="str">
        <x:f>IF(Raw_HR_Data!F131="","Missing Salary","OK")</x:f>
        <x:v>OK</x:v>
      </x:c>
      <x:c r="G133" s="17" t="str">
        <x:f>IF(AND(Raw_HR_Data!F131&lt;&gt;"",NOT(ISNUMBER(Raw_HR_Data!F131))),"Invalid Salary Type","OK")</x:f>
        <x:v>OK</x:v>
      </x:c>
      <x:c r="H133" s="17" t="str">
        <x:f>IF(Raw_HR_Data!I131&lt;0,"Invalid Deduction","OK")</x:f>
        <x:v>OK</x:v>
      </x:c>
      <x:c r="I133" s="17" t="str">
        <x:f>IF(OR(NOT(ISNUMBER(Raw_HR_Data!F131)),NOT(ISNUMBER(Raw_HR_Data!G131)),NOT(ISNUMBER(Raw_HR_Data!H131)),NOT(ISNUMBER(Raw_HR_Data!I131))),"Check Source Data",IF(Raw_HR_Data!J131=Raw_HR_Data!F131+Raw_HR_Data!G131+Raw_HR_Data!H131-Raw_HR_Data!I131,"OK","Net Pay Error"))</x:f>
        <x:v>OK</x:v>
      </x:c>
      <x:c r="J133" s="17" t="str">
        <x:f>IF(Raw_HR_Data!K131="","Missing Bank Status","OK")</x:f>
        <x:v>OK</x:v>
      </x:c>
      <x:c r="K133" s="17" t="str">
        <x:f>IF(Raw_HR_Data!L131="","Missing PAN","OK")</x:f>
        <x:v>OK</x:v>
      </x:c>
      <x:c r="L133" s="17" t="str">
        <x:f>IF(Raw_HR_Data!M131&gt;31,"Invalid Attendance","OK")</x:f>
        <x:v>OK</x:v>
      </x:c>
      <x:c r="M133" s="17" t="str">
        <x:f>IF(OR(Raw_HR_Data!N131&gt;10,Raw_HR_Data!N131&gt;Raw_HR_Data!M131),"Invalid Leave","OK")</x:f>
        <x:v>OK</x:v>
      </x:c>
      <x:c r="N133" s="17" t="str">
        <x:f>IF(OR(Raw_HR_Data!O131="Processed",Raw_HR_Data!O131="Pending",Raw_HR_Data!O131="Hold"),"OK","Invalid Payroll Status")</x:f>
        <x:v>OK</x:v>
      </x:c>
      <x:c r="O133" s="17">
        <x:f>COUNTIF(D133:N133,"&lt;&gt;OK")-COUNTIF(I133,"Check Source Data")+IF(I133="Check Source Data",1,0)</x:f>
        <x:v>0</x:v>
      </x:c>
      <x:c r="P133" s="17" t="str">
        <x:f>IF(O133=0,"Clean","Error Found")</x:f>
        <x:v>Clean</x:v>
      </x:c>
      <x:c r="Q133" s="18" t="str">
        <x:f>IF(P133="Clean","No action needed","Review raw record and update Validated_Data")</x:f>
        <x:v>No action needed</x:v>
      </x:c>
    </x:row>
    <x:row r="134">
      <x:c r="A134" s="15" t="str">
        <x:f>Raw_HR_Data!A132</x:f>
        <x:v>EMP12180</x:v>
      </x:c>
      <x:c r="B134" s="16" t="str">
        <x:f>Raw_HR_Data!B132</x:f>
        <x:v>Pooja Khan</x:v>
      </x:c>
      <x:c r="C134" s="16" t="str">
        <x:f>Raw_HR_Data!C132</x:f>
        <x:v>HR Shared Services</x:v>
      </x:c>
      <x:c r="D134" s="17" t="str">
        <x:f>IF(COUNTIF(Raw_HR_Data!$A$2:$A$221,A134)&gt;1,"Duplicate","OK")</x:f>
        <x:v>OK</x:v>
      </x:c>
      <x:c r="E134" s="17" t="str">
        <x:f>IF(B134="","Missing Name","OK")</x:f>
        <x:v>OK</x:v>
      </x:c>
      <x:c r="F134" s="17" t="str">
        <x:f>IF(Raw_HR_Data!F132="","Missing Salary","OK")</x:f>
        <x:v>OK</x:v>
      </x:c>
      <x:c r="G134" s="17" t="str">
        <x:f>IF(AND(Raw_HR_Data!F132&lt;&gt;"",NOT(ISNUMBER(Raw_HR_Data!F132))),"Invalid Salary Type","OK")</x:f>
        <x:v>OK</x:v>
      </x:c>
      <x:c r="H134" s="17" t="str">
        <x:f>IF(Raw_HR_Data!I132&lt;0,"Invalid Deduction","OK")</x:f>
        <x:v>OK</x:v>
      </x:c>
      <x:c r="I134" s="17" t="str">
        <x:f>IF(OR(NOT(ISNUMBER(Raw_HR_Data!F132)),NOT(ISNUMBER(Raw_HR_Data!G132)),NOT(ISNUMBER(Raw_HR_Data!H132)),NOT(ISNUMBER(Raw_HR_Data!I132))),"Check Source Data",IF(Raw_HR_Data!J132=Raw_HR_Data!F132+Raw_HR_Data!G132+Raw_HR_Data!H132-Raw_HR_Data!I132,"OK","Net Pay Error"))</x:f>
        <x:v>OK</x:v>
      </x:c>
      <x:c r="J134" s="17" t="str">
        <x:f>IF(Raw_HR_Data!K132="","Missing Bank Status","OK")</x:f>
        <x:v>OK</x:v>
      </x:c>
      <x:c r="K134" s="17" t="str">
        <x:f>IF(Raw_HR_Data!L132="","Missing PAN","OK")</x:f>
        <x:v>OK</x:v>
      </x:c>
      <x:c r="L134" s="17" t="str">
        <x:f>IF(Raw_HR_Data!M132&gt;31,"Invalid Attendance","OK")</x:f>
        <x:v>OK</x:v>
      </x:c>
      <x:c r="M134" s="17" t="str">
        <x:f>IF(OR(Raw_HR_Data!N132&gt;10,Raw_HR_Data!N132&gt;Raw_HR_Data!M132),"Invalid Leave","OK")</x:f>
        <x:v>OK</x:v>
      </x:c>
      <x:c r="N134" s="17" t="str">
        <x:f>IF(OR(Raw_HR_Data!O132="Processed",Raw_HR_Data!O132="Pending",Raw_HR_Data!O132="Hold"),"OK","Invalid Payroll Status")</x:f>
        <x:v>OK</x:v>
      </x:c>
      <x:c r="O134" s="17">
        <x:f>COUNTIF(D134:N134,"&lt;&gt;OK")-COUNTIF(I134,"Check Source Data")+IF(I134="Check Source Data",1,0)</x:f>
        <x:v>0</x:v>
      </x:c>
      <x:c r="P134" s="17" t="str">
        <x:f>IF(O134=0,"Clean","Error Found")</x:f>
        <x:v>Clean</x:v>
      </x:c>
      <x:c r="Q134" s="18" t="str">
        <x:f>IF(P134="Clean","No action needed","Review raw record and update Validated_Data")</x:f>
        <x:v>No action needed</x:v>
      </x:c>
    </x:row>
    <x:row r="135">
      <x:c r="A135" s="15" t="str">
        <x:f>Raw_HR_Data!A133</x:f>
        <x:v>EMP86483</x:v>
      </x:c>
      <x:c r="B135" s="16" t="str">
        <x:f>Raw_HR_Data!B133</x:f>
        <x:v>William Gupta</x:v>
      </x:c>
      <x:c r="C135" s="16" t="str">
        <x:f>Raw_HR_Data!C133</x:f>
        <x:v>Tax Support</x:v>
      </x:c>
      <x:c r="D135" s="17" t="str">
        <x:f>IF(COUNTIF(Raw_HR_Data!$A$2:$A$221,A135)&gt;1,"Duplicate","OK")</x:f>
        <x:v>OK</x:v>
      </x:c>
      <x:c r="E135" s="17" t="str">
        <x:f>IF(B135="","Missing Name","OK")</x:f>
        <x:v>OK</x:v>
      </x:c>
      <x:c r="F135" s="17" t="str">
        <x:f>IF(Raw_HR_Data!F133="","Missing Salary","OK")</x:f>
        <x:v>OK</x:v>
      </x:c>
      <x:c r="G135" s="17" t="str">
        <x:f>IF(AND(Raw_HR_Data!F133&lt;&gt;"",NOT(ISNUMBER(Raw_HR_Data!F133))),"Invalid Salary Type","OK")</x:f>
        <x:v>OK</x:v>
      </x:c>
      <x:c r="H135" s="17" t="str">
        <x:f>IF(Raw_HR_Data!I133&lt;0,"Invalid Deduction","OK")</x:f>
        <x:v>OK</x:v>
      </x:c>
      <x:c r="I135" s="17" t="str">
        <x:f>IF(OR(NOT(ISNUMBER(Raw_HR_Data!F133)),NOT(ISNUMBER(Raw_HR_Data!G133)),NOT(ISNUMBER(Raw_HR_Data!H133)),NOT(ISNUMBER(Raw_HR_Data!I133))),"Check Source Data",IF(Raw_HR_Data!J133=Raw_HR_Data!F133+Raw_HR_Data!G133+Raw_HR_Data!H133-Raw_HR_Data!I133,"OK","Net Pay Error"))</x:f>
        <x:v>OK</x:v>
      </x:c>
      <x:c r="J135" s="17" t="str">
        <x:f>IF(Raw_HR_Data!K133="","Missing Bank Status","OK")</x:f>
        <x:v>OK</x:v>
      </x:c>
      <x:c r="K135" s="17" t="str">
        <x:f>IF(Raw_HR_Data!L133="","Missing PAN","OK")</x:f>
        <x:v>OK</x:v>
      </x:c>
      <x:c r="L135" s="17" t="str">
        <x:f>IF(Raw_HR_Data!M133&gt;31,"Invalid Attendance","OK")</x:f>
        <x:v>OK</x:v>
      </x:c>
      <x:c r="M135" s="17" t="str">
        <x:f>IF(OR(Raw_HR_Data!N133&gt;10,Raw_HR_Data!N133&gt;Raw_HR_Data!M133),"Invalid Leave","OK")</x:f>
        <x:v>OK</x:v>
      </x:c>
      <x:c r="N135" s="17" t="str">
        <x:f>IF(OR(Raw_HR_Data!O133="Processed",Raw_HR_Data!O133="Pending",Raw_HR_Data!O133="Hold"),"OK","Invalid Payroll Status")</x:f>
        <x:v>OK</x:v>
      </x:c>
      <x:c r="O135" s="17">
        <x:f>COUNTIF(D135:N135,"&lt;&gt;OK")-COUNTIF(I135,"Check Source Data")+IF(I135="Check Source Data",1,0)</x:f>
        <x:v>0</x:v>
      </x:c>
      <x:c r="P135" s="17" t="str">
        <x:f>IF(O135=0,"Clean","Error Found")</x:f>
        <x:v>Clean</x:v>
      </x:c>
      <x:c r="Q135" s="18" t="str">
        <x:f>IF(P135="Clean","No action needed","Review raw record and update Validated_Data")</x:f>
        <x:v>No action needed</x:v>
      </x:c>
    </x:row>
    <x:row r="136">
      <x:c r="A136" s="15" t="str">
        <x:f>Raw_HR_Data!A134</x:f>
        <x:v>EMP36724</x:v>
      </x:c>
      <x:c r="B136" s="16" t="str">
        <x:f>Raw_HR_Data!B134</x:f>
        <x:v>Rohan Moore</x:v>
      </x:c>
      <x:c r="C136" s="16" t="str">
        <x:f>Raw_HR_Data!C134</x:f>
        <x:v>Consulting Ops</x:v>
      </x:c>
      <x:c r="D136" s="17" t="str">
        <x:f>IF(COUNTIF(Raw_HR_Data!$A$2:$A$221,A136)&gt;1,"Duplicate","OK")</x:f>
        <x:v>OK</x:v>
      </x:c>
      <x:c r="E136" s="17" t="str">
        <x:f>IF(B136="","Missing Name","OK")</x:f>
        <x:v>OK</x:v>
      </x:c>
      <x:c r="F136" s="17" t="str">
        <x:f>IF(Raw_HR_Data!F134="","Missing Salary","OK")</x:f>
        <x:v>OK</x:v>
      </x:c>
      <x:c r="G136" s="17" t="str">
        <x:f>IF(AND(Raw_HR_Data!F134&lt;&gt;"",NOT(ISNUMBER(Raw_HR_Data!F134))),"Invalid Salary Type","OK")</x:f>
        <x:v>OK</x:v>
      </x:c>
      <x:c r="H136" s="17" t="str">
        <x:f>IF(Raw_HR_Data!I134&lt;0,"Invalid Deduction","OK")</x:f>
        <x:v>OK</x:v>
      </x:c>
      <x:c r="I136" s="17" t="str">
        <x:f>IF(OR(NOT(ISNUMBER(Raw_HR_Data!F134)),NOT(ISNUMBER(Raw_HR_Data!G134)),NOT(ISNUMBER(Raw_HR_Data!H134)),NOT(ISNUMBER(Raw_HR_Data!I134))),"Check Source Data",IF(Raw_HR_Data!J134=Raw_HR_Data!F134+Raw_HR_Data!G134+Raw_HR_Data!H134-Raw_HR_Data!I134,"OK","Net Pay Error"))</x:f>
        <x:v>OK</x:v>
      </x:c>
      <x:c r="J136" s="17" t="str">
        <x:f>IF(Raw_HR_Data!K134="","Missing Bank Status","OK")</x:f>
        <x:v>OK</x:v>
      </x:c>
      <x:c r="K136" s="17" t="str">
        <x:f>IF(Raw_HR_Data!L134="","Missing PAN","OK")</x:f>
        <x:v>Missing PAN</x:v>
      </x:c>
      <x:c r="L136" s="17" t="str">
        <x:f>IF(Raw_HR_Data!M134&gt;31,"Invalid Attendance","OK")</x:f>
        <x:v>OK</x:v>
      </x:c>
      <x:c r="M136" s="17" t="str">
        <x:f>IF(OR(Raw_HR_Data!N134&gt;10,Raw_HR_Data!N134&gt;Raw_HR_Data!M134),"Invalid Leave","OK")</x:f>
        <x:v>OK</x:v>
      </x:c>
      <x:c r="N136" s="17" t="str">
        <x:f>IF(OR(Raw_HR_Data!O134="Processed",Raw_HR_Data!O134="Pending",Raw_HR_Data!O134="Hold"),"OK","Invalid Payroll Status")</x:f>
        <x:v>OK</x:v>
      </x:c>
      <x:c r="O136" s="17">
        <x:f>COUNTIF(D136:N136,"&lt;&gt;OK")-COUNTIF(I136,"Check Source Data")+IF(I136="Check Source Data",1,0)</x:f>
        <x:v>1</x:v>
      </x:c>
      <x:c r="P136" s="17" t="str">
        <x:f>IF(O136=0,"Clean","Error Found")</x:f>
        <x:v>Error Found</x:v>
      </x:c>
      <x:c r="Q136" s="18" t="str">
        <x:f>IF(P136="Clean","No action needed","Review raw record and update Validated_Data")</x:f>
        <x:v>Review raw record and update Validated_Data</x:v>
      </x:c>
    </x:row>
    <x:row r="137">
      <x:c r="A137" s="15" t="str">
        <x:f>Raw_HR_Data!A135</x:f>
        <x:v>EMP79878</x:v>
      </x:c>
      <x:c r="B137" s="16" t="str">
        <x:f>Raw_HR_Data!B135</x:f>
        <x:v>Noah Nair</x:v>
      </x:c>
      <x:c r="C137" s="16" t="str">
        <x:f>Raw_HR_Data!C135</x:f>
        <x:v>IT Support</x:v>
      </x:c>
      <x:c r="D137" s="17" t="str">
        <x:f>IF(COUNTIF(Raw_HR_Data!$A$2:$A$221,A137)&gt;1,"Duplicate","OK")</x:f>
        <x:v>OK</x:v>
      </x:c>
      <x:c r="E137" s="17" t="str">
        <x:f>IF(B137="","Missing Name","OK")</x:f>
        <x:v>OK</x:v>
      </x:c>
      <x:c r="F137" s="17" t="str">
        <x:f>IF(Raw_HR_Data!F135="","Missing Salary","OK")</x:f>
        <x:v>OK</x:v>
      </x:c>
      <x:c r="G137" s="17" t="str">
        <x:f>IF(AND(Raw_HR_Data!F135&lt;&gt;"",NOT(ISNUMBER(Raw_HR_Data!F135))),"Invalid Salary Type","OK")</x:f>
        <x:v>OK</x:v>
      </x:c>
      <x:c r="H137" s="17" t="str">
        <x:f>IF(Raw_HR_Data!I135&lt;0,"Invalid Deduction","OK")</x:f>
        <x:v>OK</x:v>
      </x:c>
      <x:c r="I137" s="17" t="str">
        <x:f>IF(OR(NOT(ISNUMBER(Raw_HR_Data!F135)),NOT(ISNUMBER(Raw_HR_Data!G135)),NOT(ISNUMBER(Raw_HR_Data!H135)),NOT(ISNUMBER(Raw_HR_Data!I135))),"Check Source Data",IF(Raw_HR_Data!J135=Raw_HR_Data!F135+Raw_HR_Data!G135+Raw_HR_Data!H135-Raw_HR_Data!I135,"OK","Net Pay Error"))</x:f>
        <x:v>OK</x:v>
      </x:c>
      <x:c r="J137" s="17" t="str">
        <x:f>IF(Raw_HR_Data!K135="","Missing Bank Status","OK")</x:f>
        <x:v>OK</x:v>
      </x:c>
      <x:c r="K137" s="17" t="str">
        <x:f>IF(Raw_HR_Data!L135="","Missing PAN","OK")</x:f>
        <x:v>OK</x:v>
      </x:c>
      <x:c r="L137" s="17" t="str">
        <x:f>IF(Raw_HR_Data!M135&gt;31,"Invalid Attendance","OK")</x:f>
        <x:v>OK</x:v>
      </x:c>
      <x:c r="M137" s="17" t="str">
        <x:f>IF(OR(Raw_HR_Data!N135&gt;10,Raw_HR_Data!N135&gt;Raw_HR_Data!M135),"Invalid Leave","OK")</x:f>
        <x:v>OK</x:v>
      </x:c>
      <x:c r="N137" s="17" t="str">
        <x:f>IF(OR(Raw_HR_Data!O135="Processed",Raw_HR_Data!O135="Pending",Raw_HR_Data!O135="Hold"),"OK","Invalid Payroll Status")</x:f>
        <x:v>OK</x:v>
      </x:c>
      <x:c r="O137" s="17">
        <x:f>COUNTIF(D137:N137,"&lt;&gt;OK")-COUNTIF(I137,"Check Source Data")+IF(I137="Check Source Data",1,0)</x:f>
        <x:v>0</x:v>
      </x:c>
      <x:c r="P137" s="17" t="str">
        <x:f>IF(O137=0,"Clean","Error Found")</x:f>
        <x:v>Clean</x:v>
      </x:c>
      <x:c r="Q137" s="18" t="str">
        <x:f>IF(P137="Clean","No action needed","Review raw record and update Validated_Data")</x:f>
        <x:v>No action needed</x:v>
      </x:c>
    </x:row>
    <x:row r="138">
      <x:c r="A138" s="15" t="str">
        <x:f>Raw_HR_Data!A136</x:f>
        <x:v>EMP74094</x:v>
      </x:c>
      <x:c r="B138" s="16" t="str">
        <x:f>Raw_HR_Data!B136</x:f>
        <x:v>Mohammed Miller</x:v>
      </x:c>
      <x:c r="C138" s="16" t="str">
        <x:f>Raw_HR_Data!C136</x:f>
        <x:v>IT Support</x:v>
      </x:c>
      <x:c r="D138" s="17" t="str">
        <x:f>IF(COUNTIF(Raw_HR_Data!$A$2:$A$221,A138)&gt;1,"Duplicate","OK")</x:f>
        <x:v>OK</x:v>
      </x:c>
      <x:c r="E138" s="17" t="str">
        <x:f>IF(B138="","Missing Name","OK")</x:f>
        <x:v>OK</x:v>
      </x:c>
      <x:c r="F138" s="17" t="str">
        <x:f>IF(Raw_HR_Data!F136="","Missing Salary","OK")</x:f>
        <x:v>OK</x:v>
      </x:c>
      <x:c r="G138" s="17" t="str">
        <x:f>IF(AND(Raw_HR_Data!F136&lt;&gt;"",NOT(ISNUMBER(Raw_HR_Data!F136))),"Invalid Salary Type","OK")</x:f>
        <x:v>OK</x:v>
      </x:c>
      <x:c r="H138" s="17" t="str">
        <x:f>IF(Raw_HR_Data!I136&lt;0,"Invalid Deduction","OK")</x:f>
        <x:v>OK</x:v>
      </x:c>
      <x:c r="I138" s="17" t="str">
        <x:f>IF(OR(NOT(ISNUMBER(Raw_HR_Data!F136)),NOT(ISNUMBER(Raw_HR_Data!G136)),NOT(ISNUMBER(Raw_HR_Data!H136)),NOT(ISNUMBER(Raw_HR_Data!I136))),"Check Source Data",IF(Raw_HR_Data!J136=Raw_HR_Data!F136+Raw_HR_Data!G136+Raw_HR_Data!H136-Raw_HR_Data!I136,"OK","Net Pay Error"))</x:f>
        <x:v>OK</x:v>
      </x:c>
      <x:c r="J138" s="17" t="str">
        <x:f>IF(Raw_HR_Data!K136="","Missing Bank Status","OK")</x:f>
        <x:v>OK</x:v>
      </x:c>
      <x:c r="K138" s="17" t="str">
        <x:f>IF(Raw_HR_Data!L136="","Missing PAN","OK")</x:f>
        <x:v>OK</x:v>
      </x:c>
      <x:c r="L138" s="17" t="str">
        <x:f>IF(Raw_HR_Data!M136&gt;31,"Invalid Attendance","OK")</x:f>
        <x:v>OK</x:v>
      </x:c>
      <x:c r="M138" s="17" t="str">
        <x:f>IF(OR(Raw_HR_Data!N136&gt;10,Raw_HR_Data!N136&gt;Raw_HR_Data!M136),"Invalid Leave","OK")</x:f>
        <x:v>OK</x:v>
      </x:c>
      <x:c r="N138" s="17" t="str">
        <x:f>IF(OR(Raw_HR_Data!O136="Processed",Raw_HR_Data!O136="Pending",Raw_HR_Data!O136="Hold"),"OK","Invalid Payroll Status")</x:f>
        <x:v>OK</x:v>
      </x:c>
      <x:c r="O138" s="17">
        <x:f>COUNTIF(D138:N138,"&lt;&gt;OK")-COUNTIF(I138,"Check Source Data")+IF(I138="Check Source Data",1,0)</x:f>
        <x:v>0</x:v>
      </x:c>
      <x:c r="P138" s="17" t="str">
        <x:f>IF(O138=0,"Clean","Error Found")</x:f>
        <x:v>Clean</x:v>
      </x:c>
      <x:c r="Q138" s="18" t="str">
        <x:f>IF(P138="Clean","No action needed","Review raw record and update Validated_Data")</x:f>
        <x:v>No action needed</x:v>
      </x:c>
    </x:row>
    <x:row r="139">
      <x:c r="A139" s="15" t="str">
        <x:f>Raw_HR_Data!A137</x:f>
        <x:v>EMP20358</x:v>
      </x:c>
      <x:c r="B139" s="16" t="str">
        <x:f>Raw_HR_Data!B137</x:f>
        <x:v>Oliver White</x:v>
      </x:c>
      <x:c r="C139" s="16" t="str">
        <x:f>Raw_HR_Data!C137</x:f>
        <x:v>Audit Support</x:v>
      </x:c>
      <x:c r="D139" s="17" t="str">
        <x:f>IF(COUNTIF(Raw_HR_Data!$A$2:$A$221,A139)&gt;1,"Duplicate","OK")</x:f>
        <x:v>OK</x:v>
      </x:c>
      <x:c r="E139" s="17" t="str">
        <x:f>IF(B139="","Missing Name","OK")</x:f>
        <x:v>OK</x:v>
      </x:c>
      <x:c r="F139" s="17" t="str">
        <x:f>IF(Raw_HR_Data!F137="","Missing Salary","OK")</x:f>
        <x:v>OK</x:v>
      </x:c>
      <x:c r="G139" s="17" t="str">
        <x:f>IF(AND(Raw_HR_Data!F137&lt;&gt;"",NOT(ISNUMBER(Raw_HR_Data!F137))),"Invalid Salary Type","OK")</x:f>
        <x:v>OK</x:v>
      </x:c>
      <x:c r="H139" s="17" t="str">
        <x:f>IF(Raw_HR_Data!I137&lt;0,"Invalid Deduction","OK")</x:f>
        <x:v>OK</x:v>
      </x:c>
      <x:c r="I139" s="17" t="str">
        <x:f>IF(OR(NOT(ISNUMBER(Raw_HR_Data!F137)),NOT(ISNUMBER(Raw_HR_Data!G137)),NOT(ISNUMBER(Raw_HR_Data!H137)),NOT(ISNUMBER(Raw_HR_Data!I137))),"Check Source Data",IF(Raw_HR_Data!J137=Raw_HR_Data!F137+Raw_HR_Data!G137+Raw_HR_Data!H137-Raw_HR_Data!I137,"OK","Net Pay Error"))</x:f>
        <x:v>OK</x:v>
      </x:c>
      <x:c r="J139" s="17" t="str">
        <x:f>IF(Raw_HR_Data!K137="","Missing Bank Status","OK")</x:f>
        <x:v>OK</x:v>
      </x:c>
      <x:c r="K139" s="17" t="str">
        <x:f>IF(Raw_HR_Data!L137="","Missing PAN","OK")</x:f>
        <x:v>OK</x:v>
      </x:c>
      <x:c r="L139" s="17" t="str">
        <x:f>IF(Raw_HR_Data!M137&gt;31,"Invalid Attendance","OK")</x:f>
        <x:v>OK</x:v>
      </x:c>
      <x:c r="M139" s="17" t="str">
        <x:f>IF(OR(Raw_HR_Data!N137&gt;10,Raw_HR_Data!N137&gt;Raw_HR_Data!M137),"Invalid Leave","OK")</x:f>
        <x:v>OK</x:v>
      </x:c>
      <x:c r="N139" s="17" t="str">
        <x:f>IF(OR(Raw_HR_Data!O137="Processed",Raw_HR_Data!O137="Pending",Raw_HR_Data!O137="Hold"),"OK","Invalid Payroll Status")</x:f>
        <x:v>OK</x:v>
      </x:c>
      <x:c r="O139" s="17">
        <x:f>COUNTIF(D139:N139,"&lt;&gt;OK")-COUNTIF(I139,"Check Source Data")+IF(I139="Check Source Data",1,0)</x:f>
        <x:v>0</x:v>
      </x:c>
      <x:c r="P139" s="17" t="str">
        <x:f>IF(O139=0,"Clean","Error Found")</x:f>
        <x:v>Clean</x:v>
      </x:c>
      <x:c r="Q139" s="18" t="str">
        <x:f>IF(P139="Clean","No action needed","Review raw record and update Validated_Data")</x:f>
        <x:v>No action needed</x:v>
      </x:c>
    </x:row>
    <x:row r="140">
      <x:c r="A140" s="15" t="str">
        <x:f>Raw_HR_Data!A138</x:f>
        <x:v>EMP86917</x:v>
      </x:c>
      <x:c r="B140" s="16" t="str">
        <x:f>Raw_HR_Data!B138</x:f>
        <x:v>Kavya Iyer</x:v>
      </x:c>
      <x:c r="C140" s="16" t="str">
        <x:f>Raw_HR_Data!C138</x:f>
        <x:v>Payroll Ops</x:v>
      </x:c>
      <x:c r="D140" s="17" t="str">
        <x:f>IF(COUNTIF(Raw_HR_Data!$A$2:$A$221,A140)&gt;1,"Duplicate","OK")</x:f>
        <x:v>OK</x:v>
      </x:c>
      <x:c r="E140" s="17" t="str">
        <x:f>IF(B140="","Missing Name","OK")</x:f>
        <x:v>OK</x:v>
      </x:c>
      <x:c r="F140" s="17" t="str">
        <x:f>IF(Raw_HR_Data!F138="","Missing Salary","OK")</x:f>
        <x:v>OK</x:v>
      </x:c>
      <x:c r="G140" s="17" t="str">
        <x:f>IF(AND(Raw_HR_Data!F138&lt;&gt;"",NOT(ISNUMBER(Raw_HR_Data!F138))),"Invalid Salary Type","OK")</x:f>
        <x:v>OK</x:v>
      </x:c>
      <x:c r="H140" s="17" t="str">
        <x:f>IF(Raw_HR_Data!I138&lt;0,"Invalid Deduction","OK")</x:f>
        <x:v>OK</x:v>
      </x:c>
      <x:c r="I140" s="17" t="str">
        <x:f>IF(OR(NOT(ISNUMBER(Raw_HR_Data!F138)),NOT(ISNUMBER(Raw_HR_Data!G138)),NOT(ISNUMBER(Raw_HR_Data!H138)),NOT(ISNUMBER(Raw_HR_Data!I138))),"Check Source Data",IF(Raw_HR_Data!J138=Raw_HR_Data!F138+Raw_HR_Data!G138+Raw_HR_Data!H138-Raw_HR_Data!I138,"OK","Net Pay Error"))</x:f>
        <x:v>OK</x:v>
      </x:c>
      <x:c r="J140" s="17" t="str">
        <x:f>IF(Raw_HR_Data!K138="","Missing Bank Status","OK")</x:f>
        <x:v>OK</x:v>
      </x:c>
      <x:c r="K140" s="17" t="str">
        <x:f>IF(Raw_HR_Data!L138="","Missing PAN","OK")</x:f>
        <x:v>OK</x:v>
      </x:c>
      <x:c r="L140" s="17" t="str">
        <x:f>IF(Raw_HR_Data!M138&gt;31,"Invalid Attendance","OK")</x:f>
        <x:v>OK</x:v>
      </x:c>
      <x:c r="M140" s="17" t="str">
        <x:f>IF(OR(Raw_HR_Data!N138&gt;10,Raw_HR_Data!N138&gt;Raw_HR_Data!M138),"Invalid Leave","OK")</x:f>
        <x:v>OK</x:v>
      </x:c>
      <x:c r="N140" s="17" t="str">
        <x:f>IF(OR(Raw_HR_Data!O138="Processed",Raw_HR_Data!O138="Pending",Raw_HR_Data!O138="Hold"),"OK","Invalid Payroll Status")</x:f>
        <x:v>OK</x:v>
      </x:c>
      <x:c r="O140" s="17">
        <x:f>COUNTIF(D140:N140,"&lt;&gt;OK")-COUNTIF(I140,"Check Source Data")+IF(I140="Check Source Data",1,0)</x:f>
        <x:v>0</x:v>
      </x:c>
      <x:c r="P140" s="17" t="str">
        <x:f>IF(O140=0,"Clean","Error Found")</x:f>
        <x:v>Clean</x:v>
      </x:c>
      <x:c r="Q140" s="18" t="str">
        <x:f>IF(P140="Clean","No action needed","Review raw record and update Validated_Data")</x:f>
        <x:v>No action needed</x:v>
      </x:c>
    </x:row>
    <x:row r="141">
      <x:c r="A141" s="15" t="str">
        <x:f>Raw_HR_Data!A139</x:f>
        <x:v>EMP30701</x:v>
      </x:c>
      <x:c r="B141" s="16" t="str">
        <x:f>Raw_HR_Data!B139</x:f>
        <x:v>Rohan Rao</x:v>
      </x:c>
      <x:c r="C141" s="16" t="str">
        <x:f>Raw_HR_Data!C139</x:f>
        <x:v>Audit Support</x:v>
      </x:c>
      <x:c r="D141" s="17" t="str">
        <x:f>IF(COUNTIF(Raw_HR_Data!$A$2:$A$221,A141)&gt;1,"Duplicate","OK")</x:f>
        <x:v>OK</x:v>
      </x:c>
      <x:c r="E141" s="17" t="str">
        <x:f>IF(B141="","Missing Name","OK")</x:f>
        <x:v>OK</x:v>
      </x:c>
      <x:c r="F141" s="17" t="str">
        <x:f>IF(Raw_HR_Data!F139="","Missing Salary","OK")</x:f>
        <x:v>OK</x:v>
      </x:c>
      <x:c r="G141" s="17" t="str">
        <x:f>IF(AND(Raw_HR_Data!F139&lt;&gt;"",NOT(ISNUMBER(Raw_HR_Data!F139))),"Invalid Salary Type","OK")</x:f>
        <x:v>OK</x:v>
      </x:c>
      <x:c r="H141" s="17" t="str">
        <x:f>IF(Raw_HR_Data!I139&lt;0,"Invalid Deduction","OK")</x:f>
        <x:v>OK</x:v>
      </x:c>
      <x:c r="I141" s="17" t="str">
        <x:f>IF(OR(NOT(ISNUMBER(Raw_HR_Data!F139)),NOT(ISNUMBER(Raw_HR_Data!G139)),NOT(ISNUMBER(Raw_HR_Data!H139)),NOT(ISNUMBER(Raw_HR_Data!I139))),"Check Source Data",IF(Raw_HR_Data!J139=Raw_HR_Data!F139+Raw_HR_Data!G139+Raw_HR_Data!H139-Raw_HR_Data!I139,"OK","Net Pay Error"))</x:f>
        <x:v>OK</x:v>
      </x:c>
      <x:c r="J141" s="17" t="str">
        <x:f>IF(Raw_HR_Data!K139="","Missing Bank Status","OK")</x:f>
        <x:v>OK</x:v>
      </x:c>
      <x:c r="K141" s="17" t="str">
        <x:f>IF(Raw_HR_Data!L139="","Missing PAN","OK")</x:f>
        <x:v>OK</x:v>
      </x:c>
      <x:c r="L141" s="17" t="str">
        <x:f>IF(Raw_HR_Data!M139&gt;31,"Invalid Attendance","OK")</x:f>
        <x:v>OK</x:v>
      </x:c>
      <x:c r="M141" s="17" t="str">
        <x:f>IF(OR(Raw_HR_Data!N139&gt;10,Raw_HR_Data!N139&gt;Raw_HR_Data!M139),"Invalid Leave","OK")</x:f>
        <x:v>OK</x:v>
      </x:c>
      <x:c r="N141" s="17" t="str">
        <x:f>IF(OR(Raw_HR_Data!O139="Processed",Raw_HR_Data!O139="Pending",Raw_HR_Data!O139="Hold"),"OK","Invalid Payroll Status")</x:f>
        <x:v>OK</x:v>
      </x:c>
      <x:c r="O141" s="17">
        <x:f>COUNTIF(D141:N141,"&lt;&gt;OK")-COUNTIF(I141,"Check Source Data")+IF(I141="Check Source Data",1,0)</x:f>
        <x:v>0</x:v>
      </x:c>
      <x:c r="P141" s="17" t="str">
        <x:f>IF(O141=0,"Clean","Error Found")</x:f>
        <x:v>Clean</x:v>
      </x:c>
      <x:c r="Q141" s="18" t="str">
        <x:f>IF(P141="Clean","No action needed","Review raw record and update Validated_Data")</x:f>
        <x:v>No action needed</x:v>
      </x:c>
    </x:row>
    <x:row r="142">
      <x:c r="A142" s="15" t="str">
        <x:f>Raw_HR_Data!A140</x:f>
        <x:v>EMP14888</x:v>
      </x:c>
      <x:c r="B142" s="16" t="str">
        <x:f>Raw_HR_Data!B140</x:f>
        <x:v>Fatima Martin</x:v>
      </x:c>
      <x:c r="C142" s="16" t="str">
        <x:f>Raw_HR_Data!C140</x:f>
        <x:v>Finance Ops</x:v>
      </x:c>
      <x:c r="D142" s="17" t="str">
        <x:f>IF(COUNTIF(Raw_HR_Data!$A$2:$A$221,A142)&gt;1,"Duplicate","OK")</x:f>
        <x:v>OK</x:v>
      </x:c>
      <x:c r="E142" s="17" t="str">
        <x:f>IF(B142="","Missing Name","OK")</x:f>
        <x:v>OK</x:v>
      </x:c>
      <x:c r="F142" s="17" t="str">
        <x:f>IF(Raw_HR_Data!F140="","Missing Salary","OK")</x:f>
        <x:v>OK</x:v>
      </x:c>
      <x:c r="G142" s="17" t="str">
        <x:f>IF(AND(Raw_HR_Data!F140&lt;&gt;"",NOT(ISNUMBER(Raw_HR_Data!F140))),"Invalid Salary Type","OK")</x:f>
        <x:v>OK</x:v>
      </x:c>
      <x:c r="H142" s="17" t="str">
        <x:f>IF(Raw_HR_Data!I140&lt;0,"Invalid Deduction","OK")</x:f>
        <x:v>OK</x:v>
      </x:c>
      <x:c r="I142" s="17" t="str">
        <x:f>IF(OR(NOT(ISNUMBER(Raw_HR_Data!F140)),NOT(ISNUMBER(Raw_HR_Data!G140)),NOT(ISNUMBER(Raw_HR_Data!H140)),NOT(ISNUMBER(Raw_HR_Data!I140))),"Check Source Data",IF(Raw_HR_Data!J140=Raw_HR_Data!F140+Raw_HR_Data!G140+Raw_HR_Data!H140-Raw_HR_Data!I140,"OK","Net Pay Error"))</x:f>
        <x:v>OK</x:v>
      </x:c>
      <x:c r="J142" s="17" t="str">
        <x:f>IF(Raw_HR_Data!K140="","Missing Bank Status","OK")</x:f>
        <x:v>OK</x:v>
      </x:c>
      <x:c r="K142" s="17" t="str">
        <x:f>IF(Raw_HR_Data!L140="","Missing PAN","OK")</x:f>
        <x:v>OK</x:v>
      </x:c>
      <x:c r="L142" s="17" t="str">
        <x:f>IF(Raw_HR_Data!M140&gt;31,"Invalid Attendance","OK")</x:f>
        <x:v>OK</x:v>
      </x:c>
      <x:c r="M142" s="17" t="str">
        <x:f>IF(OR(Raw_HR_Data!N140&gt;10,Raw_HR_Data!N140&gt;Raw_HR_Data!M140),"Invalid Leave","OK")</x:f>
        <x:v>OK</x:v>
      </x:c>
      <x:c r="N142" s="17" t="str">
        <x:f>IF(OR(Raw_HR_Data!O140="Processed",Raw_HR_Data!O140="Pending",Raw_HR_Data!O140="Hold"),"OK","Invalid Payroll Status")</x:f>
        <x:v>OK</x:v>
      </x:c>
      <x:c r="O142" s="17">
        <x:f>COUNTIF(D142:N142,"&lt;&gt;OK")-COUNTIF(I142,"Check Source Data")+IF(I142="Check Source Data",1,0)</x:f>
        <x:v>0</x:v>
      </x:c>
      <x:c r="P142" s="17" t="str">
        <x:f>IF(O142=0,"Clean","Error Found")</x:f>
        <x:v>Clean</x:v>
      </x:c>
      <x:c r="Q142" s="18" t="str">
        <x:f>IF(P142="Clean","No action needed","Review raw record and update Validated_Data")</x:f>
        <x:v>No action needed</x:v>
      </x:c>
    </x:row>
    <x:row r="143">
      <x:c r="A143" s="15" t="str">
        <x:f>Raw_HR_Data!A141</x:f>
        <x:v>EMP94058</x:v>
      </x:c>
      <x:c r="B143" s="16" t="str">
        <x:f>Raw_HR_Data!B141</x:f>
        <x:v>Charlotte Verma</x:v>
      </x:c>
      <x:c r="C143" s="16" t="str">
        <x:f>Raw_HR_Data!C141</x:f>
        <x:v>Finance Ops</x:v>
      </x:c>
      <x:c r="D143" s="17" t="str">
        <x:f>IF(COUNTIF(Raw_HR_Data!$A$2:$A$221,A143)&gt;1,"Duplicate","OK")</x:f>
        <x:v>OK</x:v>
      </x:c>
      <x:c r="E143" s="17" t="str">
        <x:f>IF(B143="","Missing Name","OK")</x:f>
        <x:v>OK</x:v>
      </x:c>
      <x:c r="F143" s="17" t="str">
        <x:f>IF(Raw_HR_Data!F141="","Missing Salary","OK")</x:f>
        <x:v>OK</x:v>
      </x:c>
      <x:c r="G143" s="17" t="str">
        <x:f>IF(AND(Raw_HR_Data!F141&lt;&gt;"",NOT(ISNUMBER(Raw_HR_Data!F141))),"Invalid Salary Type","OK")</x:f>
        <x:v>OK</x:v>
      </x:c>
      <x:c r="H143" s="17" t="str">
        <x:f>IF(Raw_HR_Data!I141&lt;0,"Invalid Deduction","OK")</x:f>
        <x:v>OK</x:v>
      </x:c>
      <x:c r="I143" s="17" t="str">
        <x:f>IF(OR(NOT(ISNUMBER(Raw_HR_Data!F141)),NOT(ISNUMBER(Raw_HR_Data!G141)),NOT(ISNUMBER(Raw_HR_Data!H141)),NOT(ISNUMBER(Raw_HR_Data!I141))),"Check Source Data",IF(Raw_HR_Data!J141=Raw_HR_Data!F141+Raw_HR_Data!G141+Raw_HR_Data!H141-Raw_HR_Data!I141,"OK","Net Pay Error"))</x:f>
        <x:v>OK</x:v>
      </x:c>
      <x:c r="J143" s="17" t="str">
        <x:f>IF(Raw_HR_Data!K141="","Missing Bank Status","OK")</x:f>
        <x:v>OK</x:v>
      </x:c>
      <x:c r="K143" s="17" t="str">
        <x:f>IF(Raw_HR_Data!L141="","Missing PAN","OK")</x:f>
        <x:v>OK</x:v>
      </x:c>
      <x:c r="L143" s="17" t="str">
        <x:f>IF(Raw_HR_Data!M141&gt;31,"Invalid Attendance","OK")</x:f>
        <x:v>OK</x:v>
      </x:c>
      <x:c r="M143" s="17" t="str">
        <x:f>IF(OR(Raw_HR_Data!N141&gt;10,Raw_HR_Data!N141&gt;Raw_HR_Data!M141),"Invalid Leave","OK")</x:f>
        <x:v>OK</x:v>
      </x:c>
      <x:c r="N143" s="17" t="str">
        <x:f>IF(OR(Raw_HR_Data!O141="Processed",Raw_HR_Data!O141="Pending",Raw_HR_Data!O141="Hold"),"OK","Invalid Payroll Status")</x:f>
        <x:v>OK</x:v>
      </x:c>
      <x:c r="O143" s="17">
        <x:f>COUNTIF(D143:N143,"&lt;&gt;OK")-COUNTIF(I143,"Check Source Data")+IF(I143="Check Source Data",1,0)</x:f>
        <x:v>0</x:v>
      </x:c>
      <x:c r="P143" s="17" t="str">
        <x:f>IF(O143=0,"Clean","Error Found")</x:f>
        <x:v>Clean</x:v>
      </x:c>
      <x:c r="Q143" s="18" t="str">
        <x:f>IF(P143="Clean","No action needed","Review raw record and update Validated_Data")</x:f>
        <x:v>No action needed</x:v>
      </x:c>
    </x:row>
    <x:row r="144">
      <x:c r="A144" s="15" t="str">
        <x:f>Raw_HR_Data!A142</x:f>
        <x:v>EMP54185</x:v>
      </x:c>
      <x:c r="B144" s="16" t="str">
        <x:f>Raw_HR_Data!B142</x:f>
        <x:v>Lucas Patel</x:v>
      </x:c>
      <x:c r="C144" s="16" t="str">
        <x:f>Raw_HR_Data!C142</x:f>
        <x:v>Benefits Team</x:v>
      </x:c>
      <x:c r="D144" s="17" t="str">
        <x:f>IF(COUNTIF(Raw_HR_Data!$A$2:$A$221,A144)&gt;1,"Duplicate","OK")</x:f>
        <x:v>OK</x:v>
      </x:c>
      <x:c r="E144" s="17" t="str">
        <x:f>IF(B144="","Missing Name","OK")</x:f>
        <x:v>OK</x:v>
      </x:c>
      <x:c r="F144" s="17" t="str">
        <x:f>IF(Raw_HR_Data!F142="","Missing Salary","OK")</x:f>
        <x:v>OK</x:v>
      </x:c>
      <x:c r="G144" s="17" t="str">
        <x:f>IF(AND(Raw_HR_Data!F142&lt;&gt;"",NOT(ISNUMBER(Raw_HR_Data!F142))),"Invalid Salary Type","OK")</x:f>
        <x:v>OK</x:v>
      </x:c>
      <x:c r="H144" s="17" t="str">
        <x:f>IF(Raw_HR_Data!I142&lt;0,"Invalid Deduction","OK")</x:f>
        <x:v>OK</x:v>
      </x:c>
      <x:c r="I144" s="17" t="str">
        <x:f>IF(OR(NOT(ISNUMBER(Raw_HR_Data!F142)),NOT(ISNUMBER(Raw_HR_Data!G142)),NOT(ISNUMBER(Raw_HR_Data!H142)),NOT(ISNUMBER(Raw_HR_Data!I142))),"Check Source Data",IF(Raw_HR_Data!J142=Raw_HR_Data!F142+Raw_HR_Data!G142+Raw_HR_Data!H142-Raw_HR_Data!I142,"OK","Net Pay Error"))</x:f>
        <x:v>OK</x:v>
      </x:c>
      <x:c r="J144" s="17" t="str">
        <x:f>IF(Raw_HR_Data!K142="","Missing Bank Status","OK")</x:f>
        <x:v>OK</x:v>
      </x:c>
      <x:c r="K144" s="17" t="str">
        <x:f>IF(Raw_HR_Data!L142="","Missing PAN","OK")</x:f>
        <x:v>OK</x:v>
      </x:c>
      <x:c r="L144" s="17" t="str">
        <x:f>IF(Raw_HR_Data!M142&gt;31,"Invalid Attendance","OK")</x:f>
        <x:v>Invalid Attendance</x:v>
      </x:c>
      <x:c r="M144" s="17" t="str">
        <x:f>IF(OR(Raw_HR_Data!N142&gt;10,Raw_HR_Data!N142&gt;Raw_HR_Data!M142),"Invalid Leave","OK")</x:f>
        <x:v>OK</x:v>
      </x:c>
      <x:c r="N144" s="17" t="str">
        <x:f>IF(OR(Raw_HR_Data!O142="Processed",Raw_HR_Data!O142="Pending",Raw_HR_Data!O142="Hold"),"OK","Invalid Payroll Status")</x:f>
        <x:v>OK</x:v>
      </x:c>
      <x:c r="O144" s="17">
        <x:f>COUNTIF(D144:N144,"&lt;&gt;OK")-COUNTIF(I144,"Check Source Data")+IF(I144="Check Source Data",1,0)</x:f>
        <x:v>1</x:v>
      </x:c>
      <x:c r="P144" s="17" t="str">
        <x:f>IF(O144=0,"Clean","Error Found")</x:f>
        <x:v>Error Found</x:v>
      </x:c>
      <x:c r="Q144" s="18" t="str">
        <x:f>IF(P144="Clean","No action needed","Review raw record and update Validated_Data")</x:f>
        <x:v>Review raw record and update Validated_Data</x:v>
      </x:c>
    </x:row>
    <x:row r="145">
      <x:c r="A145" s="15" t="str">
        <x:f>Raw_HR_Data!A143</x:f>
        <x:v>EMP42512</x:v>
      </x:c>
      <x:c r="B145" s="16" t="str">
        <x:f>Raw_HR_Data!B143</x:f>
        <x:v>Aarav Jackson</x:v>
      </x:c>
      <x:c r="C145" s="16" t="str">
        <x:f>Raw_HR_Data!C143</x:f>
        <x:v>Risk Advisory</x:v>
      </x:c>
      <x:c r="D145" s="17" t="str">
        <x:f>IF(COUNTIF(Raw_HR_Data!$A$2:$A$221,A145)&gt;1,"Duplicate","OK")</x:f>
        <x:v>OK</x:v>
      </x:c>
      <x:c r="E145" s="17" t="str">
        <x:f>IF(B145="","Missing Name","OK")</x:f>
        <x:v>OK</x:v>
      </x:c>
      <x:c r="F145" s="17" t="str">
        <x:f>IF(Raw_HR_Data!F143="","Missing Salary","OK")</x:f>
        <x:v>OK</x:v>
      </x:c>
      <x:c r="G145" s="17" t="str">
        <x:f>IF(AND(Raw_HR_Data!F143&lt;&gt;"",NOT(ISNUMBER(Raw_HR_Data!F143))),"Invalid Salary Type","OK")</x:f>
        <x:v>OK</x:v>
      </x:c>
      <x:c r="H145" s="17" t="str">
        <x:f>IF(Raw_HR_Data!I143&lt;0,"Invalid Deduction","OK")</x:f>
        <x:v>OK</x:v>
      </x:c>
      <x:c r="I145" s="17" t="str">
        <x:f>IF(OR(NOT(ISNUMBER(Raw_HR_Data!F143)),NOT(ISNUMBER(Raw_HR_Data!G143)),NOT(ISNUMBER(Raw_HR_Data!H143)),NOT(ISNUMBER(Raw_HR_Data!I143))),"Check Source Data",IF(Raw_HR_Data!J143=Raw_HR_Data!F143+Raw_HR_Data!G143+Raw_HR_Data!H143-Raw_HR_Data!I143,"OK","Net Pay Error"))</x:f>
        <x:v>OK</x:v>
      </x:c>
      <x:c r="J145" s="17" t="str">
        <x:f>IF(Raw_HR_Data!K143="","Missing Bank Status","OK")</x:f>
        <x:v>OK</x:v>
      </x:c>
      <x:c r="K145" s="17" t="str">
        <x:f>IF(Raw_HR_Data!L143="","Missing PAN","OK")</x:f>
        <x:v>OK</x:v>
      </x:c>
      <x:c r="L145" s="17" t="str">
        <x:f>IF(Raw_HR_Data!M143&gt;31,"Invalid Attendance","OK")</x:f>
        <x:v>OK</x:v>
      </x:c>
      <x:c r="M145" s="17" t="str">
        <x:f>IF(OR(Raw_HR_Data!N143&gt;10,Raw_HR_Data!N143&gt;Raw_HR_Data!M143),"Invalid Leave","OK")</x:f>
        <x:v>OK</x:v>
      </x:c>
      <x:c r="N145" s="17" t="str">
        <x:f>IF(OR(Raw_HR_Data!O143="Processed",Raw_HR_Data!O143="Pending",Raw_HR_Data!O143="Hold"),"OK","Invalid Payroll Status")</x:f>
        <x:v>OK</x:v>
      </x:c>
      <x:c r="O145" s="17">
        <x:f>COUNTIF(D145:N145,"&lt;&gt;OK")-COUNTIF(I145,"Check Source Data")+IF(I145="Check Source Data",1,0)</x:f>
        <x:v>0</x:v>
      </x:c>
      <x:c r="P145" s="17" t="str">
        <x:f>IF(O145=0,"Clean","Error Found")</x:f>
        <x:v>Clean</x:v>
      </x:c>
      <x:c r="Q145" s="18" t="str">
        <x:f>IF(P145="Clean","No action needed","Review raw record and update Validated_Data")</x:f>
        <x:v>No action needed</x:v>
      </x:c>
    </x:row>
    <x:row r="146">
      <x:c r="A146" s="15" t="str">
        <x:f>Raw_HR_Data!A144</x:f>
        <x:v>EMP25495</x:v>
      </x:c>
      <x:c r="B146" s="16" t="str">
        <x:f>Raw_HR_Data!B144</x:f>
        <x:v>Vikram Johnson</x:v>
      </x:c>
      <x:c r="C146" s="16" t="str">
        <x:f>Raw_HR_Data!C144</x:f>
        <x:v>Finance Ops</x:v>
      </x:c>
      <x:c r="D146" s="17" t="str">
        <x:f>IF(COUNTIF(Raw_HR_Data!$A$2:$A$221,A146)&gt;1,"Duplicate","OK")</x:f>
        <x:v>OK</x:v>
      </x:c>
      <x:c r="E146" s="17" t="str">
        <x:f>IF(B146="","Missing Name","OK")</x:f>
        <x:v>OK</x:v>
      </x:c>
      <x:c r="F146" s="17" t="str">
        <x:f>IF(Raw_HR_Data!F144="","Missing Salary","OK")</x:f>
        <x:v>OK</x:v>
      </x:c>
      <x:c r="G146" s="17" t="str">
        <x:f>IF(AND(Raw_HR_Data!F144&lt;&gt;"",NOT(ISNUMBER(Raw_HR_Data!F144))),"Invalid Salary Type","OK")</x:f>
        <x:v>OK</x:v>
      </x:c>
      <x:c r="H146" s="17" t="str">
        <x:f>IF(Raw_HR_Data!I144&lt;0,"Invalid Deduction","OK")</x:f>
        <x:v>OK</x:v>
      </x:c>
      <x:c r="I146" s="17" t="str">
        <x:f>IF(OR(NOT(ISNUMBER(Raw_HR_Data!F144)),NOT(ISNUMBER(Raw_HR_Data!G144)),NOT(ISNUMBER(Raw_HR_Data!H144)),NOT(ISNUMBER(Raw_HR_Data!I144))),"Check Source Data",IF(Raw_HR_Data!J144=Raw_HR_Data!F144+Raw_HR_Data!G144+Raw_HR_Data!H144-Raw_HR_Data!I144,"OK","Net Pay Error"))</x:f>
        <x:v>OK</x:v>
      </x:c>
      <x:c r="J146" s="17" t="str">
        <x:f>IF(Raw_HR_Data!K144="","Missing Bank Status","OK")</x:f>
        <x:v>OK</x:v>
      </x:c>
      <x:c r="K146" s="17" t="str">
        <x:f>IF(Raw_HR_Data!L144="","Missing PAN","OK")</x:f>
        <x:v>OK</x:v>
      </x:c>
      <x:c r="L146" s="17" t="str">
        <x:f>IF(Raw_HR_Data!M144&gt;31,"Invalid Attendance","OK")</x:f>
        <x:v>OK</x:v>
      </x:c>
      <x:c r="M146" s="17" t="str">
        <x:f>IF(OR(Raw_HR_Data!N144&gt;10,Raw_HR_Data!N144&gt;Raw_HR_Data!M144),"Invalid Leave","OK")</x:f>
        <x:v>OK</x:v>
      </x:c>
      <x:c r="N146" s="17" t="str">
        <x:f>IF(OR(Raw_HR_Data!O144="Processed",Raw_HR_Data!O144="Pending",Raw_HR_Data!O144="Hold"),"OK","Invalid Payroll Status")</x:f>
        <x:v>OK</x:v>
      </x:c>
      <x:c r="O146" s="17">
        <x:f>COUNTIF(D146:N146,"&lt;&gt;OK")-COUNTIF(I146,"Check Source Data")+IF(I146="Check Source Data",1,0)</x:f>
        <x:v>0</x:v>
      </x:c>
      <x:c r="P146" s="17" t="str">
        <x:f>IF(O146=0,"Clean","Error Found")</x:f>
        <x:v>Clean</x:v>
      </x:c>
      <x:c r="Q146" s="18" t="str">
        <x:f>IF(P146="Clean","No action needed","Review raw record and update Validated_Data")</x:f>
        <x:v>No action needed</x:v>
      </x:c>
    </x:row>
    <x:row r="147">
      <x:c r="A147" s="15" t="str">
        <x:f>Raw_HR_Data!A145</x:f>
        <x:v>EMP89395</x:v>
      </x:c>
      <x:c r="B147" s="16" t="str">
        <x:f>Raw_HR_Data!B145</x:f>
        <x:v>Pooja Martin</x:v>
      </x:c>
      <x:c r="C147" s="16" t="str">
        <x:f>Raw_HR_Data!C145</x:f>
        <x:v>Tax Support</x:v>
      </x:c>
      <x:c r="D147" s="17" t="str">
        <x:f>IF(COUNTIF(Raw_HR_Data!$A$2:$A$221,A147)&gt;1,"Duplicate","OK")</x:f>
        <x:v>OK</x:v>
      </x:c>
      <x:c r="E147" s="17" t="str">
        <x:f>IF(B147="","Missing Name","OK")</x:f>
        <x:v>OK</x:v>
      </x:c>
      <x:c r="F147" s="17" t="str">
        <x:f>IF(Raw_HR_Data!F145="","Missing Salary","OK")</x:f>
        <x:v>OK</x:v>
      </x:c>
      <x:c r="G147" s="17" t="str">
        <x:f>IF(AND(Raw_HR_Data!F145&lt;&gt;"",NOT(ISNUMBER(Raw_HR_Data!F145))),"Invalid Salary Type","OK")</x:f>
        <x:v>OK</x:v>
      </x:c>
      <x:c r="H147" s="17" t="str">
        <x:f>IF(Raw_HR_Data!I145&lt;0,"Invalid Deduction","OK")</x:f>
        <x:v>OK</x:v>
      </x:c>
      <x:c r="I147" s="17" t="str">
        <x:f>IF(OR(NOT(ISNUMBER(Raw_HR_Data!F145)),NOT(ISNUMBER(Raw_HR_Data!G145)),NOT(ISNUMBER(Raw_HR_Data!H145)),NOT(ISNUMBER(Raw_HR_Data!I145))),"Check Source Data",IF(Raw_HR_Data!J145=Raw_HR_Data!F145+Raw_HR_Data!G145+Raw_HR_Data!H145-Raw_HR_Data!I145,"OK","Net Pay Error"))</x:f>
        <x:v>OK</x:v>
      </x:c>
      <x:c r="J147" s="17" t="str">
        <x:f>IF(Raw_HR_Data!K145="","Missing Bank Status","OK")</x:f>
        <x:v>OK</x:v>
      </x:c>
      <x:c r="K147" s="17" t="str">
        <x:f>IF(Raw_HR_Data!L145="","Missing PAN","OK")</x:f>
        <x:v>OK</x:v>
      </x:c>
      <x:c r="L147" s="17" t="str">
        <x:f>IF(Raw_HR_Data!M145&gt;31,"Invalid Attendance","OK")</x:f>
        <x:v>OK</x:v>
      </x:c>
      <x:c r="M147" s="17" t="str">
        <x:f>IF(OR(Raw_HR_Data!N145&gt;10,Raw_HR_Data!N145&gt;Raw_HR_Data!M145),"Invalid Leave","OK")</x:f>
        <x:v>OK</x:v>
      </x:c>
      <x:c r="N147" s="17" t="str">
        <x:f>IF(OR(Raw_HR_Data!O145="Processed",Raw_HR_Data!O145="Pending",Raw_HR_Data!O145="Hold"),"OK","Invalid Payroll Status")</x:f>
        <x:v>OK</x:v>
      </x:c>
      <x:c r="O147" s="17">
        <x:f>COUNTIF(D147:N147,"&lt;&gt;OK")-COUNTIF(I147,"Check Source Data")+IF(I147="Check Source Data",1,0)</x:f>
        <x:v>0</x:v>
      </x:c>
      <x:c r="P147" s="17" t="str">
        <x:f>IF(O147=0,"Clean","Error Found")</x:f>
        <x:v>Clean</x:v>
      </x:c>
      <x:c r="Q147" s="18" t="str">
        <x:f>IF(P147="Clean","No action needed","Review raw record and update Validated_Data")</x:f>
        <x:v>No action needed</x:v>
      </x:c>
    </x:row>
    <x:row r="148">
      <x:c r="A148" s="15" t="str">
        <x:f>Raw_HR_Data!A146</x:f>
        <x:v>EMP81781</x:v>
      </x:c>
      <x:c r="B148" s="16" t="str">
        <x:f>Raw_HR_Data!B146</x:f>
        <x:v>Henry Patel</x:v>
      </x:c>
      <x:c r="C148" s="16" t="str">
        <x:f>Raw_HR_Data!C146</x:f>
        <x:v>Tax Support</x:v>
      </x:c>
      <x:c r="D148" s="17" t="str">
        <x:f>IF(COUNTIF(Raw_HR_Data!$A$2:$A$221,A148)&gt;1,"Duplicate","OK")</x:f>
        <x:v>OK</x:v>
      </x:c>
      <x:c r="E148" s="17" t="str">
        <x:f>IF(B148="","Missing Name","OK")</x:f>
        <x:v>OK</x:v>
      </x:c>
      <x:c r="F148" s="17" t="str">
        <x:f>IF(Raw_HR_Data!F146="","Missing Salary","OK")</x:f>
        <x:v>OK</x:v>
      </x:c>
      <x:c r="G148" s="17" t="str">
        <x:f>IF(AND(Raw_HR_Data!F146&lt;&gt;"",NOT(ISNUMBER(Raw_HR_Data!F146))),"Invalid Salary Type","OK")</x:f>
        <x:v>OK</x:v>
      </x:c>
      <x:c r="H148" s="17" t="str">
        <x:f>IF(Raw_HR_Data!I146&lt;0,"Invalid Deduction","OK")</x:f>
        <x:v>OK</x:v>
      </x:c>
      <x:c r="I148" s="17" t="str">
        <x:f>IF(OR(NOT(ISNUMBER(Raw_HR_Data!F146)),NOT(ISNUMBER(Raw_HR_Data!G146)),NOT(ISNUMBER(Raw_HR_Data!H146)),NOT(ISNUMBER(Raw_HR_Data!I146))),"Check Source Data",IF(Raw_HR_Data!J146=Raw_HR_Data!F146+Raw_HR_Data!G146+Raw_HR_Data!H146-Raw_HR_Data!I146,"OK","Net Pay Error"))</x:f>
        <x:v>OK</x:v>
      </x:c>
      <x:c r="J148" s="17" t="str">
        <x:f>IF(Raw_HR_Data!K146="","Missing Bank Status","OK")</x:f>
        <x:v>OK</x:v>
      </x:c>
      <x:c r="K148" s="17" t="str">
        <x:f>IF(Raw_HR_Data!L146="","Missing PAN","OK")</x:f>
        <x:v>OK</x:v>
      </x:c>
      <x:c r="L148" s="17" t="str">
        <x:f>IF(Raw_HR_Data!M146&gt;31,"Invalid Attendance","OK")</x:f>
        <x:v>OK</x:v>
      </x:c>
      <x:c r="M148" s="17" t="str">
        <x:f>IF(OR(Raw_HR_Data!N146&gt;10,Raw_HR_Data!N146&gt;Raw_HR_Data!M146),"Invalid Leave","OK")</x:f>
        <x:v>OK</x:v>
      </x:c>
      <x:c r="N148" s="17" t="str">
        <x:f>IF(OR(Raw_HR_Data!O146="Processed",Raw_HR_Data!O146="Pending",Raw_HR_Data!O146="Hold"),"OK","Invalid Payroll Status")</x:f>
        <x:v>OK</x:v>
      </x:c>
      <x:c r="O148" s="17">
        <x:f>COUNTIF(D148:N148,"&lt;&gt;OK")-COUNTIF(I148,"Check Source Data")+IF(I148="Check Source Data",1,0)</x:f>
        <x:v>0</x:v>
      </x:c>
      <x:c r="P148" s="17" t="str">
        <x:f>IF(O148=0,"Clean","Error Found")</x:f>
        <x:v>Clean</x:v>
      </x:c>
      <x:c r="Q148" s="18" t="str">
        <x:f>IF(P148="Clean","No action needed","Review raw record and update Validated_Data")</x:f>
        <x:v>No action needed</x:v>
      </x:c>
    </x:row>
    <x:row r="149">
      <x:c r="A149" s="15" t="str">
        <x:f>Raw_HR_Data!A147</x:f>
        <x:v>EMP17292</x:v>
      </x:c>
      <x:c r="B149" s="16" t="str">
        <x:f>Raw_HR_Data!B147</x:f>
        <x:v>Vikram Desai</x:v>
      </x:c>
      <x:c r="C149" s="16" t="str">
        <x:f>Raw_HR_Data!C147</x:f>
        <x:v>Tax Support</x:v>
      </x:c>
      <x:c r="D149" s="17" t="str">
        <x:f>IF(COUNTIF(Raw_HR_Data!$A$2:$A$221,A149)&gt;1,"Duplicate","OK")</x:f>
        <x:v>OK</x:v>
      </x:c>
      <x:c r="E149" s="17" t="str">
        <x:f>IF(B149="","Missing Name","OK")</x:f>
        <x:v>OK</x:v>
      </x:c>
      <x:c r="F149" s="17" t="str">
        <x:f>IF(Raw_HR_Data!F147="","Missing Salary","OK")</x:f>
        <x:v>OK</x:v>
      </x:c>
      <x:c r="G149" s="17" t="str">
        <x:f>IF(AND(Raw_HR_Data!F147&lt;&gt;"",NOT(ISNUMBER(Raw_HR_Data!F147))),"Invalid Salary Type","OK")</x:f>
        <x:v>OK</x:v>
      </x:c>
      <x:c r="H149" s="17" t="str">
        <x:f>IF(Raw_HR_Data!I147&lt;0,"Invalid Deduction","OK")</x:f>
        <x:v>OK</x:v>
      </x:c>
      <x:c r="I149" s="17" t="str">
        <x:f>IF(OR(NOT(ISNUMBER(Raw_HR_Data!F147)),NOT(ISNUMBER(Raw_HR_Data!G147)),NOT(ISNUMBER(Raw_HR_Data!H147)),NOT(ISNUMBER(Raw_HR_Data!I147))),"Check Source Data",IF(Raw_HR_Data!J147=Raw_HR_Data!F147+Raw_HR_Data!G147+Raw_HR_Data!H147-Raw_HR_Data!I147,"OK","Net Pay Error"))</x:f>
        <x:v>OK</x:v>
      </x:c>
      <x:c r="J149" s="17" t="str">
        <x:f>IF(Raw_HR_Data!K147="","Missing Bank Status","OK")</x:f>
        <x:v>OK</x:v>
      </x:c>
      <x:c r="K149" s="17" t="str">
        <x:f>IF(Raw_HR_Data!L147="","Missing PAN","OK")</x:f>
        <x:v>OK</x:v>
      </x:c>
      <x:c r="L149" s="17" t="str">
        <x:f>IF(Raw_HR_Data!M147&gt;31,"Invalid Attendance","OK")</x:f>
        <x:v>OK</x:v>
      </x:c>
      <x:c r="M149" s="17" t="str">
        <x:f>IF(OR(Raw_HR_Data!N147&gt;10,Raw_HR_Data!N147&gt;Raw_HR_Data!M147),"Invalid Leave","OK")</x:f>
        <x:v>OK</x:v>
      </x:c>
      <x:c r="N149" s="17" t="str">
        <x:f>IF(OR(Raw_HR_Data!O147="Processed",Raw_HR_Data!O147="Pending",Raw_HR_Data!O147="Hold"),"OK","Invalid Payroll Status")</x:f>
        <x:v>OK</x:v>
      </x:c>
      <x:c r="O149" s="17">
        <x:f>COUNTIF(D149:N149,"&lt;&gt;OK")-COUNTIF(I149,"Check Source Data")+IF(I149="Check Source Data",1,0)</x:f>
        <x:v>0</x:v>
      </x:c>
      <x:c r="P149" s="17" t="str">
        <x:f>IF(O149=0,"Clean","Error Found")</x:f>
        <x:v>Clean</x:v>
      </x:c>
      <x:c r="Q149" s="18" t="str">
        <x:f>IF(P149="Clean","No action needed","Review raw record and update Validated_Data")</x:f>
        <x:v>No action needed</x:v>
      </x:c>
    </x:row>
    <x:row r="150">
      <x:c r="A150" s="15" t="str">
        <x:f>Raw_HR_Data!A148</x:f>
        <x:v>EMP85800</x:v>
      </x:c>
      <x:c r="B150" s="16" t="str">
        <x:f>Raw_HR_Data!B148</x:f>
        <x:v>Ananya Bose</x:v>
      </x:c>
      <x:c r="C150" s="16" t="str">
        <x:f>Raw_HR_Data!C148</x:f>
        <x:v>Risk Advisory</x:v>
      </x:c>
      <x:c r="D150" s="17" t="str">
        <x:f>IF(COUNTIF(Raw_HR_Data!$A$2:$A$221,A150)&gt;1,"Duplicate","OK")</x:f>
        <x:v>OK</x:v>
      </x:c>
      <x:c r="E150" s="17" t="str">
        <x:f>IF(B150="","Missing Name","OK")</x:f>
        <x:v>OK</x:v>
      </x:c>
      <x:c r="F150" s="17" t="str">
        <x:f>IF(Raw_HR_Data!F148="","Missing Salary","OK")</x:f>
        <x:v>OK</x:v>
      </x:c>
      <x:c r="G150" s="17" t="str">
        <x:f>IF(AND(Raw_HR_Data!F148&lt;&gt;"",NOT(ISNUMBER(Raw_HR_Data!F148))),"Invalid Salary Type","OK")</x:f>
        <x:v>OK</x:v>
      </x:c>
      <x:c r="H150" s="17" t="str">
        <x:f>IF(Raw_HR_Data!I148&lt;0,"Invalid Deduction","OK")</x:f>
        <x:v>OK</x:v>
      </x:c>
      <x:c r="I150" s="17" t="str">
        <x:f>IF(OR(NOT(ISNUMBER(Raw_HR_Data!F148)),NOT(ISNUMBER(Raw_HR_Data!G148)),NOT(ISNUMBER(Raw_HR_Data!H148)),NOT(ISNUMBER(Raw_HR_Data!I148))),"Check Source Data",IF(Raw_HR_Data!J148=Raw_HR_Data!F148+Raw_HR_Data!G148+Raw_HR_Data!H148-Raw_HR_Data!I148,"OK","Net Pay Error"))</x:f>
        <x:v>OK</x:v>
      </x:c>
      <x:c r="J150" s="17" t="str">
        <x:f>IF(Raw_HR_Data!K148="","Missing Bank Status","OK")</x:f>
        <x:v>OK</x:v>
      </x:c>
      <x:c r="K150" s="17" t="str">
        <x:f>IF(Raw_HR_Data!L148="","Missing PAN","OK")</x:f>
        <x:v>OK</x:v>
      </x:c>
      <x:c r="L150" s="17" t="str">
        <x:f>IF(Raw_HR_Data!M148&gt;31,"Invalid Attendance","OK")</x:f>
        <x:v>OK</x:v>
      </x:c>
      <x:c r="M150" s="17" t="str">
        <x:f>IF(OR(Raw_HR_Data!N148&gt;10,Raw_HR_Data!N148&gt;Raw_HR_Data!M148),"Invalid Leave","OK")</x:f>
        <x:v>OK</x:v>
      </x:c>
      <x:c r="N150" s="17" t="str">
        <x:f>IF(OR(Raw_HR_Data!O148="Processed",Raw_HR_Data!O148="Pending",Raw_HR_Data!O148="Hold"),"OK","Invalid Payroll Status")</x:f>
        <x:v>OK</x:v>
      </x:c>
      <x:c r="O150" s="17">
        <x:f>COUNTIF(D150:N150,"&lt;&gt;OK")-COUNTIF(I150,"Check Source Data")+IF(I150="Check Source Data",1,0)</x:f>
        <x:v>0</x:v>
      </x:c>
      <x:c r="P150" s="17" t="str">
        <x:f>IF(O150=0,"Clean","Error Found")</x:f>
        <x:v>Clean</x:v>
      </x:c>
      <x:c r="Q150" s="18" t="str">
        <x:f>IF(P150="Clean","No action needed","Review raw record and update Validated_Data")</x:f>
        <x:v>No action needed</x:v>
      </x:c>
    </x:row>
    <x:row r="151">
      <x:c r="A151" s="15" t="str">
        <x:f>Raw_HR_Data!A149</x:f>
        <x:v>EMP94656</x:v>
      </x:c>
      <x:c r="B151" s="16" t="str">
        <x:f>Raw_HR_Data!B149</x:f>
        <x:v>Rohan Kumar</x:v>
      </x:c>
      <x:c r="C151" s="16" t="str">
        <x:f>Raw_HR_Data!C149</x:f>
        <x:v>Risk Advisory</x:v>
      </x:c>
      <x:c r="D151" s="17" t="str">
        <x:f>IF(COUNTIF(Raw_HR_Data!$A$2:$A$221,A151)&gt;1,"Duplicate","OK")</x:f>
        <x:v>OK</x:v>
      </x:c>
      <x:c r="E151" s="17" t="str">
        <x:f>IF(B151="","Missing Name","OK")</x:f>
        <x:v>OK</x:v>
      </x:c>
      <x:c r="F151" s="17" t="str">
        <x:f>IF(Raw_HR_Data!F149="","Missing Salary","OK")</x:f>
        <x:v>OK</x:v>
      </x:c>
      <x:c r="G151" s="17" t="str">
        <x:f>IF(AND(Raw_HR_Data!F149&lt;&gt;"",NOT(ISNUMBER(Raw_HR_Data!F149))),"Invalid Salary Type","OK")</x:f>
        <x:v>OK</x:v>
      </x:c>
      <x:c r="H151" s="17" t="str">
        <x:f>IF(Raw_HR_Data!I149&lt;0,"Invalid Deduction","OK")</x:f>
        <x:v>Invalid Deduction</x:v>
      </x:c>
      <x:c r="I151" s="17" t="str">
        <x:f>IF(OR(NOT(ISNUMBER(Raw_HR_Data!F149)),NOT(ISNUMBER(Raw_HR_Data!G149)),NOT(ISNUMBER(Raw_HR_Data!H149)),NOT(ISNUMBER(Raw_HR_Data!I149))),"Check Source Data",IF(Raw_HR_Data!J149=Raw_HR_Data!F149+Raw_HR_Data!G149+Raw_HR_Data!H149-Raw_HR_Data!I149,"OK","Net Pay Error"))</x:f>
        <x:v>OK</x:v>
      </x:c>
      <x:c r="J151" s="17" t="str">
        <x:f>IF(Raw_HR_Data!K149="","Missing Bank Status","OK")</x:f>
        <x:v>OK</x:v>
      </x:c>
      <x:c r="K151" s="17" t="str">
        <x:f>IF(Raw_HR_Data!L149="","Missing PAN","OK")</x:f>
        <x:v>OK</x:v>
      </x:c>
      <x:c r="L151" s="17" t="str">
        <x:f>IF(Raw_HR_Data!M149&gt;31,"Invalid Attendance","OK")</x:f>
        <x:v>OK</x:v>
      </x:c>
      <x:c r="M151" s="17" t="str">
        <x:f>IF(OR(Raw_HR_Data!N149&gt;10,Raw_HR_Data!N149&gt;Raw_HR_Data!M149),"Invalid Leave","OK")</x:f>
        <x:v>OK</x:v>
      </x:c>
      <x:c r="N151" s="17" t="str">
        <x:f>IF(OR(Raw_HR_Data!O149="Processed",Raw_HR_Data!O149="Pending",Raw_HR_Data!O149="Hold"),"OK","Invalid Payroll Status")</x:f>
        <x:v>OK</x:v>
      </x:c>
      <x:c r="O151" s="17">
        <x:f>COUNTIF(D151:N151,"&lt;&gt;OK")-COUNTIF(I151,"Check Source Data")+IF(I151="Check Source Data",1,0)</x:f>
        <x:v>1</x:v>
      </x:c>
      <x:c r="P151" s="17" t="str">
        <x:f>IF(O151=0,"Clean","Error Found")</x:f>
        <x:v>Error Found</x:v>
      </x:c>
      <x:c r="Q151" s="18" t="str">
        <x:f>IF(P151="Clean","No action needed","Review raw record and update Validated_Data")</x:f>
        <x:v>Review raw record and update Validated_Data</x:v>
      </x:c>
    </x:row>
    <x:row r="152">
      <x:c r="A152" s="15" t="str">
        <x:f>Raw_HR_Data!A150</x:f>
        <x:v>EMP26691</x:v>
      </x:c>
      <x:c r="B152" s="16" t="str">
        <x:f>Raw_HR_Data!B150</x:f>
        <x:v>James Thomas</x:v>
      </x:c>
      <x:c r="C152" s="16" t="str">
        <x:f>Raw_HR_Data!C150</x:f>
        <x:v>Payroll Ops</x:v>
      </x:c>
      <x:c r="D152" s="17" t="str">
        <x:f>IF(COUNTIF(Raw_HR_Data!$A$2:$A$221,A152)&gt;1,"Duplicate","OK")</x:f>
        <x:v>OK</x:v>
      </x:c>
      <x:c r="E152" s="17" t="str">
        <x:f>IF(B152="","Missing Name","OK")</x:f>
        <x:v>OK</x:v>
      </x:c>
      <x:c r="F152" s="17" t="str">
        <x:f>IF(Raw_HR_Data!F150="","Missing Salary","OK")</x:f>
        <x:v>OK</x:v>
      </x:c>
      <x:c r="G152" s="17" t="str">
        <x:f>IF(AND(Raw_HR_Data!F150&lt;&gt;"",NOT(ISNUMBER(Raw_HR_Data!F150))),"Invalid Salary Type","OK")</x:f>
        <x:v>OK</x:v>
      </x:c>
      <x:c r="H152" s="17" t="str">
        <x:f>IF(Raw_HR_Data!I150&lt;0,"Invalid Deduction","OK")</x:f>
        <x:v>OK</x:v>
      </x:c>
      <x:c r="I152" s="17" t="str">
        <x:f>IF(OR(NOT(ISNUMBER(Raw_HR_Data!F150)),NOT(ISNUMBER(Raw_HR_Data!G150)),NOT(ISNUMBER(Raw_HR_Data!H150)),NOT(ISNUMBER(Raw_HR_Data!I150))),"Check Source Data",IF(Raw_HR_Data!J150=Raw_HR_Data!F150+Raw_HR_Data!G150+Raw_HR_Data!H150-Raw_HR_Data!I150,"OK","Net Pay Error"))</x:f>
        <x:v>OK</x:v>
      </x:c>
      <x:c r="J152" s="17" t="str">
        <x:f>IF(Raw_HR_Data!K150="","Missing Bank Status","OK")</x:f>
        <x:v>OK</x:v>
      </x:c>
      <x:c r="K152" s="17" t="str">
        <x:f>IF(Raw_HR_Data!L150="","Missing PAN","OK")</x:f>
        <x:v>OK</x:v>
      </x:c>
      <x:c r="L152" s="17" t="str">
        <x:f>IF(Raw_HR_Data!M150&gt;31,"Invalid Attendance","OK")</x:f>
        <x:v>OK</x:v>
      </x:c>
      <x:c r="M152" s="17" t="str">
        <x:f>IF(OR(Raw_HR_Data!N150&gt;10,Raw_HR_Data!N150&gt;Raw_HR_Data!M150),"Invalid Leave","OK")</x:f>
        <x:v>OK</x:v>
      </x:c>
      <x:c r="N152" s="17" t="str">
        <x:f>IF(OR(Raw_HR_Data!O150="Processed",Raw_HR_Data!O150="Pending",Raw_HR_Data!O150="Hold"),"OK","Invalid Payroll Status")</x:f>
        <x:v>OK</x:v>
      </x:c>
      <x:c r="O152" s="17">
        <x:f>COUNTIF(D152:N152,"&lt;&gt;OK")-COUNTIF(I152,"Check Source Data")+IF(I152="Check Source Data",1,0)</x:f>
        <x:v>0</x:v>
      </x:c>
      <x:c r="P152" s="17" t="str">
        <x:f>IF(O152=0,"Clean","Error Found")</x:f>
        <x:v>Clean</x:v>
      </x:c>
      <x:c r="Q152" s="18" t="str">
        <x:f>IF(P152="Clean","No action needed","Review raw record and update Validated_Data")</x:f>
        <x:v>No action needed</x:v>
      </x:c>
    </x:row>
    <x:row r="153">
      <x:c r="A153" s="15" t="str">
        <x:f>Raw_HR_Data!A151</x:f>
        <x:v>EMP46129</x:v>
      </x:c>
      <x:c r="B153" s="16" t="str">
        <x:f>Raw_HR_Data!B151</x:f>
        <x:v>Henry White</x:v>
      </x:c>
      <x:c r="C153" s="16" t="str">
        <x:f>Raw_HR_Data!C151</x:f>
        <x:v>HR Shared Services</x:v>
      </x:c>
      <x:c r="D153" s="17" t="str">
        <x:f>IF(COUNTIF(Raw_HR_Data!$A$2:$A$221,A153)&gt;1,"Duplicate","OK")</x:f>
        <x:v>OK</x:v>
      </x:c>
      <x:c r="E153" s="17" t="str">
        <x:f>IF(B153="","Missing Name","OK")</x:f>
        <x:v>OK</x:v>
      </x:c>
      <x:c r="F153" s="17" t="str">
        <x:f>IF(Raw_HR_Data!F151="","Missing Salary","OK")</x:f>
        <x:v>OK</x:v>
      </x:c>
      <x:c r="G153" s="17" t="str">
        <x:f>IF(AND(Raw_HR_Data!F151&lt;&gt;"",NOT(ISNUMBER(Raw_HR_Data!F151))),"Invalid Salary Type","OK")</x:f>
        <x:v>OK</x:v>
      </x:c>
      <x:c r="H153" s="17" t="str">
        <x:f>IF(Raw_HR_Data!I151&lt;0,"Invalid Deduction","OK")</x:f>
        <x:v>OK</x:v>
      </x:c>
      <x:c r="I153" s="17" t="str">
        <x:f>IF(OR(NOT(ISNUMBER(Raw_HR_Data!F151)),NOT(ISNUMBER(Raw_HR_Data!G151)),NOT(ISNUMBER(Raw_HR_Data!H151)),NOT(ISNUMBER(Raw_HR_Data!I151))),"Check Source Data",IF(Raw_HR_Data!J151=Raw_HR_Data!F151+Raw_HR_Data!G151+Raw_HR_Data!H151-Raw_HR_Data!I151,"OK","Net Pay Error"))</x:f>
        <x:v>OK</x:v>
      </x:c>
      <x:c r="J153" s="17" t="str">
        <x:f>IF(Raw_HR_Data!K151="","Missing Bank Status","OK")</x:f>
        <x:v>OK</x:v>
      </x:c>
      <x:c r="K153" s="17" t="str">
        <x:f>IF(Raw_HR_Data!L151="","Missing PAN","OK")</x:f>
        <x:v>OK</x:v>
      </x:c>
      <x:c r="L153" s="17" t="str">
        <x:f>IF(Raw_HR_Data!M151&gt;31,"Invalid Attendance","OK")</x:f>
        <x:v>OK</x:v>
      </x:c>
      <x:c r="M153" s="17" t="str">
        <x:f>IF(OR(Raw_HR_Data!N151&gt;10,Raw_HR_Data!N151&gt;Raw_HR_Data!M151),"Invalid Leave","OK")</x:f>
        <x:v>OK</x:v>
      </x:c>
      <x:c r="N153" s="17" t="str">
        <x:f>IF(OR(Raw_HR_Data!O151="Processed",Raw_HR_Data!O151="Pending",Raw_HR_Data!O151="Hold"),"OK","Invalid Payroll Status")</x:f>
        <x:v>OK</x:v>
      </x:c>
      <x:c r="O153" s="17">
        <x:f>COUNTIF(D153:N153,"&lt;&gt;OK")-COUNTIF(I153,"Check Source Data")+IF(I153="Check Source Data",1,0)</x:f>
        <x:v>0</x:v>
      </x:c>
      <x:c r="P153" s="17" t="str">
        <x:f>IF(O153=0,"Clean","Error Found")</x:f>
        <x:v>Clean</x:v>
      </x:c>
      <x:c r="Q153" s="18" t="str">
        <x:f>IF(P153="Clean","No action needed","Review raw record and update Validated_Data")</x:f>
        <x:v>No action needed</x:v>
      </x:c>
    </x:row>
    <x:row r="154">
      <x:c r="A154" s="15" t="str">
        <x:f>Raw_HR_Data!A152</x:f>
        <x:v>EMP16380</x:v>
      </x:c>
      <x:c r="B154" s="16" t="str">
        <x:f>Raw_HR_Data!B152</x:f>
        <x:v>Kavya Sharma</x:v>
      </x:c>
      <x:c r="C154" s="16" t="str">
        <x:f>Raw_HR_Data!C152</x:f>
        <x:v>Payroll Ops</x:v>
      </x:c>
      <x:c r="D154" s="17" t="str">
        <x:f>IF(COUNTIF(Raw_HR_Data!$A$2:$A$221,A154)&gt;1,"Duplicate","OK")</x:f>
        <x:v>OK</x:v>
      </x:c>
      <x:c r="E154" s="17" t="str">
        <x:f>IF(B154="","Missing Name","OK")</x:f>
        <x:v>OK</x:v>
      </x:c>
      <x:c r="F154" s="17" t="str">
        <x:f>IF(Raw_HR_Data!F152="","Missing Salary","OK")</x:f>
        <x:v>OK</x:v>
      </x:c>
      <x:c r="G154" s="17" t="str">
        <x:f>IF(AND(Raw_HR_Data!F152&lt;&gt;"",NOT(ISNUMBER(Raw_HR_Data!F152))),"Invalid Salary Type","OK")</x:f>
        <x:v>OK</x:v>
      </x:c>
      <x:c r="H154" s="17" t="str">
        <x:f>IF(Raw_HR_Data!I152&lt;0,"Invalid Deduction","OK")</x:f>
        <x:v>OK</x:v>
      </x:c>
      <x:c r="I154" s="17" t="str">
        <x:f>IF(OR(NOT(ISNUMBER(Raw_HR_Data!F152)),NOT(ISNUMBER(Raw_HR_Data!G152)),NOT(ISNUMBER(Raw_HR_Data!H152)),NOT(ISNUMBER(Raw_HR_Data!I152))),"Check Source Data",IF(Raw_HR_Data!J152=Raw_HR_Data!F152+Raw_HR_Data!G152+Raw_HR_Data!H152-Raw_HR_Data!I152,"OK","Net Pay Error"))</x:f>
        <x:v>OK</x:v>
      </x:c>
      <x:c r="J154" s="17" t="str">
        <x:f>IF(Raw_HR_Data!K152="","Missing Bank Status","OK")</x:f>
        <x:v>OK</x:v>
      </x:c>
      <x:c r="K154" s="17" t="str">
        <x:f>IF(Raw_HR_Data!L152="","Missing PAN","OK")</x:f>
        <x:v>OK</x:v>
      </x:c>
      <x:c r="L154" s="17" t="str">
        <x:f>IF(Raw_HR_Data!M152&gt;31,"Invalid Attendance","OK")</x:f>
        <x:v>OK</x:v>
      </x:c>
      <x:c r="M154" s="17" t="str">
        <x:f>IF(OR(Raw_HR_Data!N152&gt;10,Raw_HR_Data!N152&gt;Raw_HR_Data!M152),"Invalid Leave","OK")</x:f>
        <x:v>OK</x:v>
      </x:c>
      <x:c r="N154" s="17" t="str">
        <x:f>IF(OR(Raw_HR_Data!O152="Processed",Raw_HR_Data!O152="Pending",Raw_HR_Data!O152="Hold"),"OK","Invalid Payroll Status")</x:f>
        <x:v>OK</x:v>
      </x:c>
      <x:c r="O154" s="17">
        <x:f>COUNTIF(D154:N154,"&lt;&gt;OK")-COUNTIF(I154,"Check Source Data")+IF(I154="Check Source Data",1,0)</x:f>
        <x:v>0</x:v>
      </x:c>
      <x:c r="P154" s="17" t="str">
        <x:f>IF(O154=0,"Clean","Error Found")</x:f>
        <x:v>Clean</x:v>
      </x:c>
      <x:c r="Q154" s="18" t="str">
        <x:f>IF(P154="Clean","No action needed","Review raw record and update Validated_Data")</x:f>
        <x:v>No action needed</x:v>
      </x:c>
    </x:row>
    <x:row r="155">
      <x:c r="A155" s="15" t="str">
        <x:f>Raw_HR_Data!A153</x:f>
        <x:v>EMP98150</x:v>
      </x:c>
      <x:c r="B155" s="16" t="str">
        <x:f>Raw_HR_Data!B153</x:f>
        <x:v>Mohammed Iyer</x:v>
      </x:c>
      <x:c r="C155" s="16" t="str">
        <x:f>Raw_HR_Data!C153</x:f>
        <x:v>Talent Ops</x:v>
      </x:c>
      <x:c r="D155" s="17" t="str">
        <x:f>IF(COUNTIF(Raw_HR_Data!$A$2:$A$221,A155)&gt;1,"Duplicate","OK")</x:f>
        <x:v>OK</x:v>
      </x:c>
      <x:c r="E155" s="17" t="str">
        <x:f>IF(B155="","Missing Name","OK")</x:f>
        <x:v>OK</x:v>
      </x:c>
      <x:c r="F155" s="17" t="str">
        <x:f>IF(Raw_HR_Data!F153="","Missing Salary","OK")</x:f>
        <x:v>OK</x:v>
      </x:c>
      <x:c r="G155" s="17" t="str">
        <x:f>IF(AND(Raw_HR_Data!F153&lt;&gt;"",NOT(ISNUMBER(Raw_HR_Data!F153))),"Invalid Salary Type","OK")</x:f>
        <x:v>OK</x:v>
      </x:c>
      <x:c r="H155" s="17" t="str">
        <x:f>IF(Raw_HR_Data!I153&lt;0,"Invalid Deduction","OK")</x:f>
        <x:v>OK</x:v>
      </x:c>
      <x:c r="I155" s="17" t="str">
        <x:f>IF(OR(NOT(ISNUMBER(Raw_HR_Data!F153)),NOT(ISNUMBER(Raw_HR_Data!G153)),NOT(ISNUMBER(Raw_HR_Data!H153)),NOT(ISNUMBER(Raw_HR_Data!I153))),"Check Source Data",IF(Raw_HR_Data!J153=Raw_HR_Data!F153+Raw_HR_Data!G153+Raw_HR_Data!H153-Raw_HR_Data!I153,"OK","Net Pay Error"))</x:f>
        <x:v>OK</x:v>
      </x:c>
      <x:c r="J155" s="17" t="str">
        <x:f>IF(Raw_HR_Data!K153="","Missing Bank Status","OK")</x:f>
        <x:v>OK</x:v>
      </x:c>
      <x:c r="K155" s="17" t="str">
        <x:f>IF(Raw_HR_Data!L153="","Missing PAN","OK")</x:f>
        <x:v>OK</x:v>
      </x:c>
      <x:c r="L155" s="17" t="str">
        <x:f>IF(Raw_HR_Data!M153&gt;31,"Invalid Attendance","OK")</x:f>
        <x:v>OK</x:v>
      </x:c>
      <x:c r="M155" s="17" t="str">
        <x:f>IF(OR(Raw_HR_Data!N153&gt;10,Raw_HR_Data!N153&gt;Raw_HR_Data!M153),"Invalid Leave","OK")</x:f>
        <x:v>OK</x:v>
      </x:c>
      <x:c r="N155" s="17" t="str">
        <x:f>IF(OR(Raw_HR_Data!O153="Processed",Raw_HR_Data!O153="Pending",Raw_HR_Data!O153="Hold"),"OK","Invalid Payroll Status")</x:f>
        <x:v>OK</x:v>
      </x:c>
      <x:c r="O155" s="17">
        <x:f>COUNTIF(D155:N155,"&lt;&gt;OK")-COUNTIF(I155,"Check Source Data")+IF(I155="Check Source Data",1,0)</x:f>
        <x:v>0</x:v>
      </x:c>
      <x:c r="P155" s="17" t="str">
        <x:f>IF(O155=0,"Clean","Error Found")</x:f>
        <x:v>Clean</x:v>
      </x:c>
      <x:c r="Q155" s="18" t="str">
        <x:f>IF(P155="Clean","No action needed","Review raw record and update Validated_Data")</x:f>
        <x:v>No action needed</x:v>
      </x:c>
    </x:row>
    <x:row r="156">
      <x:c r="A156" s="15" t="str">
        <x:f>Raw_HR_Data!A154</x:f>
        <x:v>EMP55143</x:v>
      </x:c>
      <x:c r="B156" s="16" t="str">
        <x:f>Raw_HR_Data!B154</x:f>
        <x:v>Priya Taylor</x:v>
      </x:c>
      <x:c r="C156" s="16" t="str">
        <x:f>Raw_HR_Data!C154</x:f>
        <x:v>Tax Support</x:v>
      </x:c>
      <x:c r="D156" s="17" t="str">
        <x:f>IF(COUNTIF(Raw_HR_Data!$A$2:$A$221,A156)&gt;1,"Duplicate","OK")</x:f>
        <x:v>OK</x:v>
      </x:c>
      <x:c r="E156" s="17" t="str">
        <x:f>IF(B156="","Missing Name","OK")</x:f>
        <x:v>OK</x:v>
      </x:c>
      <x:c r="F156" s="17" t="str">
        <x:f>IF(Raw_HR_Data!F154="","Missing Salary","OK")</x:f>
        <x:v>OK</x:v>
      </x:c>
      <x:c r="G156" s="17" t="str">
        <x:f>IF(AND(Raw_HR_Data!F154&lt;&gt;"",NOT(ISNUMBER(Raw_HR_Data!F154))),"Invalid Salary Type","OK")</x:f>
        <x:v>OK</x:v>
      </x:c>
      <x:c r="H156" s="17" t="str">
        <x:f>IF(Raw_HR_Data!I154&lt;0,"Invalid Deduction","OK")</x:f>
        <x:v>OK</x:v>
      </x:c>
      <x:c r="I156" s="17" t="str">
        <x:f>IF(OR(NOT(ISNUMBER(Raw_HR_Data!F154)),NOT(ISNUMBER(Raw_HR_Data!G154)),NOT(ISNUMBER(Raw_HR_Data!H154)),NOT(ISNUMBER(Raw_HR_Data!I154))),"Check Source Data",IF(Raw_HR_Data!J154=Raw_HR_Data!F154+Raw_HR_Data!G154+Raw_HR_Data!H154-Raw_HR_Data!I154,"OK","Net Pay Error"))</x:f>
        <x:v>OK</x:v>
      </x:c>
      <x:c r="J156" s="17" t="str">
        <x:f>IF(Raw_HR_Data!K154="","Missing Bank Status","OK")</x:f>
        <x:v>OK</x:v>
      </x:c>
      <x:c r="K156" s="17" t="str">
        <x:f>IF(Raw_HR_Data!L154="","Missing PAN","OK")</x:f>
        <x:v>OK</x:v>
      </x:c>
      <x:c r="L156" s="17" t="str">
        <x:f>IF(Raw_HR_Data!M154&gt;31,"Invalid Attendance","OK")</x:f>
        <x:v>OK</x:v>
      </x:c>
      <x:c r="M156" s="17" t="str">
        <x:f>IF(OR(Raw_HR_Data!N154&gt;10,Raw_HR_Data!N154&gt;Raw_HR_Data!M154),"Invalid Leave","OK")</x:f>
        <x:v>OK</x:v>
      </x:c>
      <x:c r="N156" s="17" t="str">
        <x:f>IF(OR(Raw_HR_Data!O154="Processed",Raw_HR_Data!O154="Pending",Raw_HR_Data!O154="Hold"),"OK","Invalid Payroll Status")</x:f>
        <x:v>OK</x:v>
      </x:c>
      <x:c r="O156" s="17">
        <x:f>COUNTIF(D156:N156,"&lt;&gt;OK")-COUNTIF(I156,"Check Source Data")+IF(I156="Check Source Data",1,0)</x:f>
        <x:v>0</x:v>
      </x:c>
      <x:c r="P156" s="17" t="str">
        <x:f>IF(O156=0,"Clean","Error Found")</x:f>
        <x:v>Clean</x:v>
      </x:c>
      <x:c r="Q156" s="18" t="str">
        <x:f>IF(P156="Clean","No action needed","Review raw record and update Validated_Data")</x:f>
        <x:v>No action needed</x:v>
      </x:c>
    </x:row>
    <x:row r="157">
      <x:c r="A157" s="15" t="str">
        <x:f>Raw_HR_Data!A155</x:f>
        <x:v>EMP28920</x:v>
      </x:c>
      <x:c r="B157" s="16" t="str">
        <x:f>Raw_HR_Data!B155</x:f>
        <x:v>Vikram White</x:v>
      </x:c>
      <x:c r="C157" s="16" t="str">
        <x:f>Raw_HR_Data!C155</x:f>
        <x:v>Payroll Ops</x:v>
      </x:c>
      <x:c r="D157" s="17" t="str">
        <x:f>IF(COUNTIF(Raw_HR_Data!$A$2:$A$221,A157)&gt;1,"Duplicate","OK")</x:f>
        <x:v>OK</x:v>
      </x:c>
      <x:c r="E157" s="17" t="str">
        <x:f>IF(B157="","Missing Name","OK")</x:f>
        <x:v>OK</x:v>
      </x:c>
      <x:c r="F157" s="17" t="str">
        <x:f>IF(Raw_HR_Data!F155="","Missing Salary","OK")</x:f>
        <x:v>OK</x:v>
      </x:c>
      <x:c r="G157" s="17" t="str">
        <x:f>IF(AND(Raw_HR_Data!F155&lt;&gt;"",NOT(ISNUMBER(Raw_HR_Data!F155))),"Invalid Salary Type","OK")</x:f>
        <x:v>OK</x:v>
      </x:c>
      <x:c r="H157" s="17" t="str">
        <x:f>IF(Raw_HR_Data!I155&lt;0,"Invalid Deduction","OK")</x:f>
        <x:v>OK</x:v>
      </x:c>
      <x:c r="I157" s="17" t="str">
        <x:f>IF(OR(NOT(ISNUMBER(Raw_HR_Data!F155)),NOT(ISNUMBER(Raw_HR_Data!G155)),NOT(ISNUMBER(Raw_HR_Data!H155)),NOT(ISNUMBER(Raw_HR_Data!I155))),"Check Source Data",IF(Raw_HR_Data!J155=Raw_HR_Data!F155+Raw_HR_Data!G155+Raw_HR_Data!H155-Raw_HR_Data!I155,"OK","Net Pay Error"))</x:f>
        <x:v>OK</x:v>
      </x:c>
      <x:c r="J157" s="17" t="str">
        <x:f>IF(Raw_HR_Data!K155="","Missing Bank Status","OK")</x:f>
        <x:v>OK</x:v>
      </x:c>
      <x:c r="K157" s="17" t="str">
        <x:f>IF(Raw_HR_Data!L155="","Missing PAN","OK")</x:f>
        <x:v>OK</x:v>
      </x:c>
      <x:c r="L157" s="17" t="str">
        <x:f>IF(Raw_HR_Data!M155&gt;31,"Invalid Attendance","OK")</x:f>
        <x:v>OK</x:v>
      </x:c>
      <x:c r="M157" s="17" t="str">
        <x:f>IF(OR(Raw_HR_Data!N155&gt;10,Raw_HR_Data!N155&gt;Raw_HR_Data!M155),"Invalid Leave","OK")</x:f>
        <x:v>OK</x:v>
      </x:c>
      <x:c r="N157" s="17" t="str">
        <x:f>IF(OR(Raw_HR_Data!O155="Processed",Raw_HR_Data!O155="Pending",Raw_HR_Data!O155="Hold"),"OK","Invalid Payroll Status")</x:f>
        <x:v>OK</x:v>
      </x:c>
      <x:c r="O157" s="17">
        <x:f>COUNTIF(D157:N157,"&lt;&gt;OK")-COUNTIF(I157,"Check Source Data")+IF(I157="Check Source Data",1,0)</x:f>
        <x:v>0</x:v>
      </x:c>
      <x:c r="P157" s="17" t="str">
        <x:f>IF(O157=0,"Clean","Error Found")</x:f>
        <x:v>Clean</x:v>
      </x:c>
      <x:c r="Q157" s="18" t="str">
        <x:f>IF(P157="Clean","No action needed","Review raw record and update Validated_Data")</x:f>
        <x:v>No action needed</x:v>
      </x:c>
    </x:row>
    <x:row r="158">
      <x:c r="A158" s="15" t="str">
        <x:f>Raw_HR_Data!A156</x:f>
        <x:v>EMP58637</x:v>
      </x:c>
      <x:c r="B158" s="16" t="str">
        <x:f>Raw_HR_Data!B156</x:f>
        <x:v>Arjun Nair</x:v>
      </x:c>
      <x:c r="C158" s="16" t="str">
        <x:f>Raw_HR_Data!C156</x:f>
        <x:v>Benefits Team</x:v>
      </x:c>
      <x:c r="D158" s="17" t="str">
        <x:f>IF(COUNTIF(Raw_HR_Data!$A$2:$A$221,A158)&gt;1,"Duplicate","OK")</x:f>
        <x:v>OK</x:v>
      </x:c>
      <x:c r="E158" s="17" t="str">
        <x:f>IF(B158="","Missing Name","OK")</x:f>
        <x:v>OK</x:v>
      </x:c>
      <x:c r="F158" s="17" t="str">
        <x:f>IF(Raw_HR_Data!F156="","Missing Salary","OK")</x:f>
        <x:v>OK</x:v>
      </x:c>
      <x:c r="G158" s="17" t="str">
        <x:f>IF(AND(Raw_HR_Data!F156&lt;&gt;"",NOT(ISNUMBER(Raw_HR_Data!F156))),"Invalid Salary Type","OK")</x:f>
        <x:v>OK</x:v>
      </x:c>
      <x:c r="H158" s="17" t="str">
        <x:f>IF(Raw_HR_Data!I156&lt;0,"Invalid Deduction","OK")</x:f>
        <x:v>OK</x:v>
      </x:c>
      <x:c r="I158" s="17" t="str">
        <x:f>IF(OR(NOT(ISNUMBER(Raw_HR_Data!F156)),NOT(ISNUMBER(Raw_HR_Data!G156)),NOT(ISNUMBER(Raw_HR_Data!H156)),NOT(ISNUMBER(Raw_HR_Data!I156))),"Check Source Data",IF(Raw_HR_Data!J156=Raw_HR_Data!F156+Raw_HR_Data!G156+Raw_HR_Data!H156-Raw_HR_Data!I156,"OK","Net Pay Error"))</x:f>
        <x:v>OK</x:v>
      </x:c>
      <x:c r="J158" s="17" t="str">
        <x:f>IF(Raw_HR_Data!K156="","Missing Bank Status","OK")</x:f>
        <x:v>OK</x:v>
      </x:c>
      <x:c r="K158" s="17" t="str">
        <x:f>IF(Raw_HR_Data!L156="","Missing PAN","OK")</x:f>
        <x:v>OK</x:v>
      </x:c>
      <x:c r="L158" s="17" t="str">
        <x:f>IF(Raw_HR_Data!M156&gt;31,"Invalid Attendance","OK")</x:f>
        <x:v>OK</x:v>
      </x:c>
      <x:c r="M158" s="17" t="str">
        <x:f>IF(OR(Raw_HR_Data!N156&gt;10,Raw_HR_Data!N156&gt;Raw_HR_Data!M156),"Invalid Leave","OK")</x:f>
        <x:v>OK</x:v>
      </x:c>
      <x:c r="N158" s="17" t="str">
        <x:f>IF(OR(Raw_HR_Data!O156="Processed",Raw_HR_Data!O156="Pending",Raw_HR_Data!O156="Hold"),"OK","Invalid Payroll Status")</x:f>
        <x:v>OK</x:v>
      </x:c>
      <x:c r="O158" s="17">
        <x:f>COUNTIF(D158:N158,"&lt;&gt;OK")-COUNTIF(I158,"Check Source Data")+IF(I158="Check Source Data",1,0)</x:f>
        <x:v>0</x:v>
      </x:c>
      <x:c r="P158" s="17" t="str">
        <x:f>IF(O158=0,"Clean","Error Found")</x:f>
        <x:v>Clean</x:v>
      </x:c>
      <x:c r="Q158" s="18" t="str">
        <x:f>IF(P158="Clean","No action needed","Review raw record and update Validated_Data")</x:f>
        <x:v>No action needed</x:v>
      </x:c>
    </x:row>
    <x:row r="159">
      <x:c r="A159" s="15" t="str">
        <x:f>Raw_HR_Data!A157</x:f>
        <x:v>EMP53642</x:v>
      </x:c>
      <x:c r="B159" s="16" t="str">
        <x:f>Raw_HR_Data!B157</x:f>
        <x:v>Meera White</x:v>
      </x:c>
      <x:c r="C159" s="16" t="str">
        <x:f>Raw_HR_Data!C157</x:f>
        <x:v>Payroll Ops</x:v>
      </x:c>
      <x:c r="D159" s="17" t="str">
        <x:f>IF(COUNTIF(Raw_HR_Data!$A$2:$A$221,A159)&gt;1,"Duplicate","OK")</x:f>
        <x:v>OK</x:v>
      </x:c>
      <x:c r="E159" s="17" t="str">
        <x:f>IF(B159="","Missing Name","OK")</x:f>
        <x:v>OK</x:v>
      </x:c>
      <x:c r="F159" s="17" t="str">
        <x:f>IF(Raw_HR_Data!F157="","Missing Salary","OK")</x:f>
        <x:v>OK</x:v>
      </x:c>
      <x:c r="G159" s="17" t="str">
        <x:f>IF(AND(Raw_HR_Data!F157&lt;&gt;"",NOT(ISNUMBER(Raw_HR_Data!F157))),"Invalid Salary Type","OK")</x:f>
        <x:v>OK</x:v>
      </x:c>
      <x:c r="H159" s="17" t="str">
        <x:f>IF(Raw_HR_Data!I157&lt;0,"Invalid Deduction","OK")</x:f>
        <x:v>OK</x:v>
      </x:c>
      <x:c r="I159" s="17" t="str">
        <x:f>IF(OR(NOT(ISNUMBER(Raw_HR_Data!F157)),NOT(ISNUMBER(Raw_HR_Data!G157)),NOT(ISNUMBER(Raw_HR_Data!H157)),NOT(ISNUMBER(Raw_HR_Data!I157))),"Check Source Data",IF(Raw_HR_Data!J157=Raw_HR_Data!F157+Raw_HR_Data!G157+Raw_HR_Data!H157-Raw_HR_Data!I157,"OK","Net Pay Error"))</x:f>
        <x:v>OK</x:v>
      </x:c>
      <x:c r="J159" s="17" t="str">
        <x:f>IF(Raw_HR_Data!K157="","Missing Bank Status","OK")</x:f>
        <x:v>OK</x:v>
      </x:c>
      <x:c r="K159" s="17" t="str">
        <x:f>IF(Raw_HR_Data!L157="","Missing PAN","OK")</x:f>
        <x:v>OK</x:v>
      </x:c>
      <x:c r="L159" s="17" t="str">
        <x:f>IF(Raw_HR_Data!M157&gt;31,"Invalid Attendance","OK")</x:f>
        <x:v>OK</x:v>
      </x:c>
      <x:c r="M159" s="17" t="str">
        <x:f>IF(OR(Raw_HR_Data!N157&gt;10,Raw_HR_Data!N157&gt;Raw_HR_Data!M157),"Invalid Leave","OK")</x:f>
        <x:v>OK</x:v>
      </x:c>
      <x:c r="N159" s="17" t="str">
        <x:f>IF(OR(Raw_HR_Data!O157="Processed",Raw_HR_Data!O157="Pending",Raw_HR_Data!O157="Hold"),"OK","Invalid Payroll Status")</x:f>
        <x:v>OK</x:v>
      </x:c>
      <x:c r="O159" s="17">
        <x:f>COUNTIF(D159:N159,"&lt;&gt;OK")-COUNTIF(I159,"Check Source Data")+IF(I159="Check Source Data",1,0)</x:f>
        <x:v>0</x:v>
      </x:c>
      <x:c r="P159" s="17" t="str">
        <x:f>IF(O159=0,"Clean","Error Found")</x:f>
        <x:v>Clean</x:v>
      </x:c>
      <x:c r="Q159" s="18" t="str">
        <x:f>IF(P159="Clean","No action needed","Review raw record and update Validated_Data")</x:f>
        <x:v>No action needed</x:v>
      </x:c>
    </x:row>
    <x:row r="160">
      <x:c r="A160" s="15" t="str">
        <x:f>Raw_HR_Data!A158</x:f>
        <x:v>EMP47101</x:v>
      </x:c>
      <x:c r="B160" s="16" t="str">
        <x:f>Raw_HR_Data!B158</x:f>
        <x:v>Priya Mehta</x:v>
      </x:c>
      <x:c r="C160" s="16" t="str">
        <x:f>Raw_HR_Data!C158</x:f>
        <x:v>Tax Support</x:v>
      </x:c>
      <x:c r="D160" s="17" t="str">
        <x:f>IF(COUNTIF(Raw_HR_Data!$A$2:$A$221,A160)&gt;1,"Duplicate","OK")</x:f>
        <x:v>OK</x:v>
      </x:c>
      <x:c r="E160" s="17" t="str">
        <x:f>IF(B160="","Missing Name","OK")</x:f>
        <x:v>OK</x:v>
      </x:c>
      <x:c r="F160" s="17" t="str">
        <x:f>IF(Raw_HR_Data!F158="","Missing Salary","OK")</x:f>
        <x:v>OK</x:v>
      </x:c>
      <x:c r="G160" s="17" t="str">
        <x:f>IF(AND(Raw_HR_Data!F158&lt;&gt;"",NOT(ISNUMBER(Raw_HR_Data!F158))),"Invalid Salary Type","OK")</x:f>
        <x:v>OK</x:v>
      </x:c>
      <x:c r="H160" s="17" t="str">
        <x:f>IF(Raw_HR_Data!I158&lt;0,"Invalid Deduction","OK")</x:f>
        <x:v>OK</x:v>
      </x:c>
      <x:c r="I160" s="17" t="str">
        <x:f>IF(OR(NOT(ISNUMBER(Raw_HR_Data!F158)),NOT(ISNUMBER(Raw_HR_Data!G158)),NOT(ISNUMBER(Raw_HR_Data!H158)),NOT(ISNUMBER(Raw_HR_Data!I158))),"Check Source Data",IF(Raw_HR_Data!J158=Raw_HR_Data!F158+Raw_HR_Data!G158+Raw_HR_Data!H158-Raw_HR_Data!I158,"OK","Net Pay Error"))</x:f>
        <x:v>OK</x:v>
      </x:c>
      <x:c r="J160" s="17" t="str">
        <x:f>IF(Raw_HR_Data!K158="","Missing Bank Status","OK")</x:f>
        <x:v>OK</x:v>
      </x:c>
      <x:c r="K160" s="17" t="str">
        <x:f>IF(Raw_HR_Data!L158="","Missing PAN","OK")</x:f>
        <x:v>Missing PAN</x:v>
      </x:c>
      <x:c r="L160" s="17" t="str">
        <x:f>IF(Raw_HR_Data!M158&gt;31,"Invalid Attendance","OK")</x:f>
        <x:v>OK</x:v>
      </x:c>
      <x:c r="M160" s="17" t="str">
        <x:f>IF(OR(Raw_HR_Data!N158&gt;10,Raw_HR_Data!N158&gt;Raw_HR_Data!M158),"Invalid Leave","OK")</x:f>
        <x:v>OK</x:v>
      </x:c>
      <x:c r="N160" s="17" t="str">
        <x:f>IF(OR(Raw_HR_Data!O158="Processed",Raw_HR_Data!O158="Pending",Raw_HR_Data!O158="Hold"),"OK","Invalid Payroll Status")</x:f>
        <x:v>OK</x:v>
      </x:c>
      <x:c r="O160" s="17">
        <x:f>COUNTIF(D160:N160,"&lt;&gt;OK")-COUNTIF(I160,"Check Source Data")+IF(I160="Check Source Data",1,0)</x:f>
        <x:v>1</x:v>
      </x:c>
      <x:c r="P160" s="17" t="str">
        <x:f>IF(O160=0,"Clean","Error Found")</x:f>
        <x:v>Error Found</x:v>
      </x:c>
      <x:c r="Q160" s="18" t="str">
        <x:f>IF(P160="Clean","No action needed","Review raw record and update Validated_Data")</x:f>
        <x:v>Review raw record and update Validated_Data</x:v>
      </x:c>
    </x:row>
    <x:row r="161">
      <x:c r="A161" s="15" t="str">
        <x:f>Raw_HR_Data!A159</x:f>
        <x:v>EMP58589</x:v>
      </x:c>
      <x:c r="B161" s="16" t="str">
        <x:f>Raw_HR_Data!B159</x:f>
        <x:v>Mohammed Martin</x:v>
      </x:c>
      <x:c r="C161" s="16" t="str">
        <x:f>Raw_HR_Data!C159</x:f>
        <x:v>Payroll Ops</x:v>
      </x:c>
      <x:c r="D161" s="17" t="str">
        <x:f>IF(COUNTIF(Raw_HR_Data!$A$2:$A$221,A161)&gt;1,"Duplicate","OK")</x:f>
        <x:v>OK</x:v>
      </x:c>
      <x:c r="E161" s="17" t="str">
        <x:f>IF(B161="","Missing Name","OK")</x:f>
        <x:v>OK</x:v>
      </x:c>
      <x:c r="F161" s="17" t="str">
        <x:f>IF(Raw_HR_Data!F159="","Missing Salary","OK")</x:f>
        <x:v>OK</x:v>
      </x:c>
      <x:c r="G161" s="17" t="str">
        <x:f>IF(AND(Raw_HR_Data!F159&lt;&gt;"",NOT(ISNUMBER(Raw_HR_Data!F159))),"Invalid Salary Type","OK")</x:f>
        <x:v>OK</x:v>
      </x:c>
      <x:c r="H161" s="17" t="str">
        <x:f>IF(Raw_HR_Data!I159&lt;0,"Invalid Deduction","OK")</x:f>
        <x:v>OK</x:v>
      </x:c>
      <x:c r="I161" s="17" t="str">
        <x:f>IF(OR(NOT(ISNUMBER(Raw_HR_Data!F159)),NOT(ISNUMBER(Raw_HR_Data!G159)),NOT(ISNUMBER(Raw_HR_Data!H159)),NOT(ISNUMBER(Raw_HR_Data!I159))),"Check Source Data",IF(Raw_HR_Data!J159=Raw_HR_Data!F159+Raw_HR_Data!G159+Raw_HR_Data!H159-Raw_HR_Data!I159,"OK","Net Pay Error"))</x:f>
        <x:v>OK</x:v>
      </x:c>
      <x:c r="J161" s="17" t="str">
        <x:f>IF(Raw_HR_Data!K159="","Missing Bank Status","OK")</x:f>
        <x:v>OK</x:v>
      </x:c>
      <x:c r="K161" s="17" t="str">
        <x:f>IF(Raw_HR_Data!L159="","Missing PAN","OK")</x:f>
        <x:v>OK</x:v>
      </x:c>
      <x:c r="L161" s="17" t="str">
        <x:f>IF(Raw_HR_Data!M159&gt;31,"Invalid Attendance","OK")</x:f>
        <x:v>OK</x:v>
      </x:c>
      <x:c r="M161" s="17" t="str">
        <x:f>IF(OR(Raw_HR_Data!N159&gt;10,Raw_HR_Data!N159&gt;Raw_HR_Data!M159),"Invalid Leave","OK")</x:f>
        <x:v>OK</x:v>
      </x:c>
      <x:c r="N161" s="17" t="str">
        <x:f>IF(OR(Raw_HR_Data!O159="Processed",Raw_HR_Data!O159="Pending",Raw_HR_Data!O159="Hold"),"OK","Invalid Payroll Status")</x:f>
        <x:v>OK</x:v>
      </x:c>
      <x:c r="O161" s="17">
        <x:f>COUNTIF(D161:N161,"&lt;&gt;OK")-COUNTIF(I161,"Check Source Data")+IF(I161="Check Source Data",1,0)</x:f>
        <x:v>0</x:v>
      </x:c>
      <x:c r="P161" s="17" t="str">
        <x:f>IF(O161=0,"Clean","Error Found")</x:f>
        <x:v>Clean</x:v>
      </x:c>
      <x:c r="Q161" s="18" t="str">
        <x:f>IF(P161="Clean","No action needed","Review raw record and update Validated_Data")</x:f>
        <x:v>No action needed</x:v>
      </x:c>
    </x:row>
    <x:row r="162">
      <x:c r="A162" s="15" t="str">
        <x:f>Raw_HR_Data!A160</x:f>
        <x:v>EMP42208</x:v>
      </x:c>
      <x:c r="B162" s="16" t="str">
        <x:f>Raw_HR_Data!B160</x:f>
        <x:v>Charlotte Nair</x:v>
      </x:c>
      <x:c r="C162" s="16" t="str">
        <x:f>Raw_HR_Data!C160</x:f>
        <x:v>IT Support</x:v>
      </x:c>
      <x:c r="D162" s="17" t="str">
        <x:f>IF(COUNTIF(Raw_HR_Data!$A$2:$A$221,A162)&gt;1,"Duplicate","OK")</x:f>
        <x:v>OK</x:v>
      </x:c>
      <x:c r="E162" s="17" t="str">
        <x:f>IF(B162="","Missing Name","OK")</x:f>
        <x:v>OK</x:v>
      </x:c>
      <x:c r="F162" s="17" t="str">
        <x:f>IF(Raw_HR_Data!F160="","Missing Salary","OK")</x:f>
        <x:v>OK</x:v>
      </x:c>
      <x:c r="G162" s="17" t="str">
        <x:f>IF(AND(Raw_HR_Data!F160&lt;&gt;"",NOT(ISNUMBER(Raw_HR_Data!F160))),"Invalid Salary Type","OK")</x:f>
        <x:v>OK</x:v>
      </x:c>
      <x:c r="H162" s="17" t="str">
        <x:f>IF(Raw_HR_Data!I160&lt;0,"Invalid Deduction","OK")</x:f>
        <x:v>OK</x:v>
      </x:c>
      <x:c r="I162" s="17" t="str">
        <x:f>IF(OR(NOT(ISNUMBER(Raw_HR_Data!F160)),NOT(ISNUMBER(Raw_HR_Data!G160)),NOT(ISNUMBER(Raw_HR_Data!H160)),NOT(ISNUMBER(Raw_HR_Data!I160))),"Check Source Data",IF(Raw_HR_Data!J160=Raw_HR_Data!F160+Raw_HR_Data!G160+Raw_HR_Data!H160-Raw_HR_Data!I160,"OK","Net Pay Error"))</x:f>
        <x:v>Net Pay Error</x:v>
      </x:c>
      <x:c r="J162" s="17" t="str">
        <x:f>IF(Raw_HR_Data!K160="","Missing Bank Status","OK")</x:f>
        <x:v>OK</x:v>
      </x:c>
      <x:c r="K162" s="17" t="str">
        <x:f>IF(Raw_HR_Data!L160="","Missing PAN","OK")</x:f>
        <x:v>OK</x:v>
      </x:c>
      <x:c r="L162" s="17" t="str">
        <x:f>IF(Raw_HR_Data!M160&gt;31,"Invalid Attendance","OK")</x:f>
        <x:v>OK</x:v>
      </x:c>
      <x:c r="M162" s="17" t="str">
        <x:f>IF(OR(Raw_HR_Data!N160&gt;10,Raw_HR_Data!N160&gt;Raw_HR_Data!M160),"Invalid Leave","OK")</x:f>
        <x:v>OK</x:v>
      </x:c>
      <x:c r="N162" s="17" t="str">
        <x:f>IF(OR(Raw_HR_Data!O160="Processed",Raw_HR_Data!O160="Pending",Raw_HR_Data!O160="Hold"),"OK","Invalid Payroll Status")</x:f>
        <x:v>OK</x:v>
      </x:c>
      <x:c r="O162" s="17">
        <x:f>COUNTIF(D162:N162,"&lt;&gt;OK")-COUNTIF(I162,"Check Source Data")+IF(I162="Check Source Data",1,0)</x:f>
        <x:v>1</x:v>
      </x:c>
      <x:c r="P162" s="17" t="str">
        <x:f>IF(O162=0,"Clean","Error Found")</x:f>
        <x:v>Error Found</x:v>
      </x:c>
      <x:c r="Q162" s="18" t="str">
        <x:f>IF(P162="Clean","No action needed","Review raw record and update Validated_Data")</x:f>
        <x:v>Review raw record and update Validated_Data</x:v>
      </x:c>
    </x:row>
    <x:row r="163">
      <x:c r="A163" s="15" t="str">
        <x:f>Raw_HR_Data!A161</x:f>
        <x:v>EMP74004</x:v>
      </x:c>
      <x:c r="B163" s="16" t="str">
        <x:f>Raw_HR_Data!B161</x:f>
        <x:v>Fatima White</x:v>
      </x:c>
      <x:c r="C163" s="16" t="str">
        <x:f>Raw_HR_Data!C161</x:f>
        <x:v>Tax Support</x:v>
      </x:c>
      <x:c r="D163" s="17" t="str">
        <x:f>IF(COUNTIF(Raw_HR_Data!$A$2:$A$221,A163)&gt;1,"Duplicate","OK")</x:f>
        <x:v>OK</x:v>
      </x:c>
      <x:c r="E163" s="17" t="str">
        <x:f>IF(B163="","Missing Name","OK")</x:f>
        <x:v>OK</x:v>
      </x:c>
      <x:c r="F163" s="17" t="str">
        <x:f>IF(Raw_HR_Data!F161="","Missing Salary","OK")</x:f>
        <x:v>OK</x:v>
      </x:c>
      <x:c r="G163" s="17" t="str">
        <x:f>IF(AND(Raw_HR_Data!F161&lt;&gt;"",NOT(ISNUMBER(Raw_HR_Data!F161))),"Invalid Salary Type","OK")</x:f>
        <x:v>Invalid Salary Type</x:v>
      </x:c>
      <x:c r="H163" s="17" t="str">
        <x:f>IF(Raw_HR_Data!I161&lt;0,"Invalid Deduction","OK")</x:f>
        <x:v>OK</x:v>
      </x:c>
      <x:c r="I163" s="17" t="str">
        <x:f>IF(OR(NOT(ISNUMBER(Raw_HR_Data!F161)),NOT(ISNUMBER(Raw_HR_Data!G161)),NOT(ISNUMBER(Raw_HR_Data!H161)),NOT(ISNUMBER(Raw_HR_Data!I161))),"Check Source Data",IF(Raw_HR_Data!J161=Raw_HR_Data!F161+Raw_HR_Data!G161+Raw_HR_Data!H161-Raw_HR_Data!I161,"OK","Net Pay Error"))</x:f>
        <x:v>Check Source Data</x:v>
      </x:c>
      <x:c r="J163" s="17" t="str">
        <x:f>IF(Raw_HR_Data!K161="","Missing Bank Status","OK")</x:f>
        <x:v>OK</x:v>
      </x:c>
      <x:c r="K163" s="17" t="str">
        <x:f>IF(Raw_HR_Data!L161="","Missing PAN","OK")</x:f>
        <x:v>OK</x:v>
      </x:c>
      <x:c r="L163" s="17" t="str">
        <x:f>IF(Raw_HR_Data!M161&gt;31,"Invalid Attendance","OK")</x:f>
        <x:v>OK</x:v>
      </x:c>
      <x:c r="M163" s="17" t="str">
        <x:f>IF(OR(Raw_HR_Data!N161&gt;10,Raw_HR_Data!N161&gt;Raw_HR_Data!M161),"Invalid Leave","OK")</x:f>
        <x:v>OK</x:v>
      </x:c>
      <x:c r="N163" s="17" t="str">
        <x:f>IF(OR(Raw_HR_Data!O161="Processed",Raw_HR_Data!O161="Pending",Raw_HR_Data!O161="Hold"),"OK","Invalid Payroll Status")</x:f>
        <x:v>OK</x:v>
      </x:c>
      <x:c r="O163" s="17">
        <x:f>COUNTIF(D163:N163,"&lt;&gt;OK")-COUNTIF(I163,"Check Source Data")+IF(I163="Check Source Data",1,0)</x:f>
        <x:v>2</x:v>
      </x:c>
      <x:c r="P163" s="17" t="str">
        <x:f>IF(O163=0,"Clean","Error Found")</x:f>
        <x:v>Error Found</x:v>
      </x:c>
      <x:c r="Q163" s="18" t="str">
        <x:f>IF(P163="Clean","No action needed","Review raw record and update Validated_Data")</x:f>
        <x:v>Review raw record and update Validated_Data</x:v>
      </x:c>
    </x:row>
    <x:row r="164">
      <x:c r="A164" s="15" t="str">
        <x:f>Raw_HR_Data!A162</x:f>
        <x:v>EMP76287</x:v>
      </x:c>
      <x:c r="B164" s="16" t="str">
        <x:f>Raw_HR_Data!B162</x:f>
        <x:v>Vikram Kumar</x:v>
      </x:c>
      <x:c r="C164" s="16" t="str">
        <x:f>Raw_HR_Data!C162</x:f>
        <x:v>Payroll Ops</x:v>
      </x:c>
      <x:c r="D164" s="17" t="str">
        <x:f>IF(COUNTIF(Raw_HR_Data!$A$2:$A$221,A164)&gt;1,"Duplicate","OK")</x:f>
        <x:v>OK</x:v>
      </x:c>
      <x:c r="E164" s="17" t="str">
        <x:f>IF(B164="","Missing Name","OK")</x:f>
        <x:v>OK</x:v>
      </x:c>
      <x:c r="F164" s="17" t="str">
        <x:f>IF(Raw_HR_Data!F162="","Missing Salary","OK")</x:f>
        <x:v>OK</x:v>
      </x:c>
      <x:c r="G164" s="17" t="str">
        <x:f>IF(AND(Raw_HR_Data!F162&lt;&gt;"",NOT(ISNUMBER(Raw_HR_Data!F162))),"Invalid Salary Type","OK")</x:f>
        <x:v>OK</x:v>
      </x:c>
      <x:c r="H164" s="17" t="str">
        <x:f>IF(Raw_HR_Data!I162&lt;0,"Invalid Deduction","OK")</x:f>
        <x:v>OK</x:v>
      </x:c>
      <x:c r="I164" s="17" t="str">
        <x:f>IF(OR(NOT(ISNUMBER(Raw_HR_Data!F162)),NOT(ISNUMBER(Raw_HR_Data!G162)),NOT(ISNUMBER(Raw_HR_Data!H162)),NOT(ISNUMBER(Raw_HR_Data!I162))),"Check Source Data",IF(Raw_HR_Data!J162=Raw_HR_Data!F162+Raw_HR_Data!G162+Raw_HR_Data!H162-Raw_HR_Data!I162,"OK","Net Pay Error"))</x:f>
        <x:v>OK</x:v>
      </x:c>
      <x:c r="J164" s="17" t="str">
        <x:f>IF(Raw_HR_Data!K162="","Missing Bank Status","OK")</x:f>
        <x:v>OK</x:v>
      </x:c>
      <x:c r="K164" s="17" t="str">
        <x:f>IF(Raw_HR_Data!L162="","Missing PAN","OK")</x:f>
        <x:v>Missing PAN</x:v>
      </x:c>
      <x:c r="L164" s="17" t="str">
        <x:f>IF(Raw_HR_Data!M162&gt;31,"Invalid Attendance","OK")</x:f>
        <x:v>OK</x:v>
      </x:c>
      <x:c r="M164" s="17" t="str">
        <x:f>IF(OR(Raw_HR_Data!N162&gt;10,Raw_HR_Data!N162&gt;Raw_HR_Data!M162),"Invalid Leave","OK")</x:f>
        <x:v>OK</x:v>
      </x:c>
      <x:c r="N164" s="17" t="str">
        <x:f>IF(OR(Raw_HR_Data!O162="Processed",Raw_HR_Data!O162="Pending",Raw_HR_Data!O162="Hold"),"OK","Invalid Payroll Status")</x:f>
        <x:v>OK</x:v>
      </x:c>
      <x:c r="O164" s="17">
        <x:f>COUNTIF(D164:N164,"&lt;&gt;OK")-COUNTIF(I164,"Check Source Data")+IF(I164="Check Source Data",1,0)</x:f>
        <x:v>1</x:v>
      </x:c>
      <x:c r="P164" s="17" t="str">
        <x:f>IF(O164=0,"Clean","Error Found")</x:f>
        <x:v>Error Found</x:v>
      </x:c>
      <x:c r="Q164" s="18" t="str">
        <x:f>IF(P164="Clean","No action needed","Review raw record and update Validated_Data")</x:f>
        <x:v>Review raw record and update Validated_Data</x:v>
      </x:c>
    </x:row>
    <x:row r="165">
      <x:c r="A165" s="15" t="str">
        <x:f>Raw_HR_Data!A163</x:f>
        <x:v>EMP98346</x:v>
      </x:c>
      <x:c r="B165" s="16" t="str">
        <x:f>Raw_HR_Data!B163</x:f>
        <x:v>Sneha Taylor</x:v>
      </x:c>
      <x:c r="C165" s="16" t="str">
        <x:f>Raw_HR_Data!C163</x:f>
        <x:v>Finance Ops</x:v>
      </x:c>
      <x:c r="D165" s="17" t="str">
        <x:f>IF(COUNTIF(Raw_HR_Data!$A$2:$A$221,A165)&gt;1,"Duplicate","OK")</x:f>
        <x:v>OK</x:v>
      </x:c>
      <x:c r="E165" s="17" t="str">
        <x:f>IF(B165="","Missing Name","OK")</x:f>
        <x:v>OK</x:v>
      </x:c>
      <x:c r="F165" s="17" t="str">
        <x:f>IF(Raw_HR_Data!F163="","Missing Salary","OK")</x:f>
        <x:v>OK</x:v>
      </x:c>
      <x:c r="G165" s="17" t="str">
        <x:f>IF(AND(Raw_HR_Data!F163&lt;&gt;"",NOT(ISNUMBER(Raw_HR_Data!F163))),"Invalid Salary Type","OK")</x:f>
        <x:v>OK</x:v>
      </x:c>
      <x:c r="H165" s="17" t="str">
        <x:f>IF(Raw_HR_Data!I163&lt;0,"Invalid Deduction","OK")</x:f>
        <x:v>OK</x:v>
      </x:c>
      <x:c r="I165" s="17" t="str">
        <x:f>IF(OR(NOT(ISNUMBER(Raw_HR_Data!F163)),NOT(ISNUMBER(Raw_HR_Data!G163)),NOT(ISNUMBER(Raw_HR_Data!H163)),NOT(ISNUMBER(Raw_HR_Data!I163))),"Check Source Data",IF(Raw_HR_Data!J163=Raw_HR_Data!F163+Raw_HR_Data!G163+Raw_HR_Data!H163-Raw_HR_Data!I163,"OK","Net Pay Error"))</x:f>
        <x:v>OK</x:v>
      </x:c>
      <x:c r="J165" s="17" t="str">
        <x:f>IF(Raw_HR_Data!K163="","Missing Bank Status","OK")</x:f>
        <x:v>OK</x:v>
      </x:c>
      <x:c r="K165" s="17" t="str">
        <x:f>IF(Raw_HR_Data!L163="","Missing PAN","OK")</x:f>
        <x:v>OK</x:v>
      </x:c>
      <x:c r="L165" s="17" t="str">
        <x:f>IF(Raw_HR_Data!M163&gt;31,"Invalid Attendance","OK")</x:f>
        <x:v>OK</x:v>
      </x:c>
      <x:c r="M165" s="17" t="str">
        <x:f>IF(OR(Raw_HR_Data!N163&gt;10,Raw_HR_Data!N163&gt;Raw_HR_Data!M163),"Invalid Leave","OK")</x:f>
        <x:v>Invalid Leave</x:v>
      </x:c>
      <x:c r="N165" s="17" t="str">
        <x:f>IF(OR(Raw_HR_Data!O163="Processed",Raw_HR_Data!O163="Pending",Raw_HR_Data!O163="Hold"),"OK","Invalid Payroll Status")</x:f>
        <x:v>OK</x:v>
      </x:c>
      <x:c r="O165" s="17">
        <x:f>COUNTIF(D165:N165,"&lt;&gt;OK")-COUNTIF(I165,"Check Source Data")+IF(I165="Check Source Data",1,0)</x:f>
        <x:v>1</x:v>
      </x:c>
      <x:c r="P165" s="17" t="str">
        <x:f>IF(O165=0,"Clean","Error Found")</x:f>
        <x:v>Error Found</x:v>
      </x:c>
      <x:c r="Q165" s="18" t="str">
        <x:f>IF(P165="Clean","No action needed","Review raw record and update Validated_Data")</x:f>
        <x:v>Review raw record and update Validated_Data</x:v>
      </x:c>
    </x:row>
    <x:row r="166">
      <x:c r="A166" s="15" t="str">
        <x:f>Raw_HR_Data!A164</x:f>
        <x:v>EMP63218</x:v>
      </x:c>
      <x:c r="B166" s="16" t="str">
        <x:f>Raw_HR_Data!B164</x:f>
        <x:v>Vikram Patel</x:v>
      </x:c>
      <x:c r="C166" s="16" t="str">
        <x:f>Raw_HR_Data!C164</x:f>
        <x:v>Benefits Team</x:v>
      </x:c>
      <x:c r="D166" s="17" t="str">
        <x:f>IF(COUNTIF(Raw_HR_Data!$A$2:$A$221,A166)&gt;1,"Duplicate","OK")</x:f>
        <x:v>OK</x:v>
      </x:c>
      <x:c r="E166" s="17" t="str">
        <x:f>IF(B166="","Missing Name","OK")</x:f>
        <x:v>OK</x:v>
      </x:c>
      <x:c r="F166" s="17" t="str">
        <x:f>IF(Raw_HR_Data!F164="","Missing Salary","OK")</x:f>
        <x:v>OK</x:v>
      </x:c>
      <x:c r="G166" s="17" t="str">
        <x:f>IF(AND(Raw_HR_Data!F164&lt;&gt;"",NOT(ISNUMBER(Raw_HR_Data!F164))),"Invalid Salary Type","OK")</x:f>
        <x:v>OK</x:v>
      </x:c>
      <x:c r="H166" s="17" t="str">
        <x:f>IF(Raw_HR_Data!I164&lt;0,"Invalid Deduction","OK")</x:f>
        <x:v>OK</x:v>
      </x:c>
      <x:c r="I166" s="17" t="str">
        <x:f>IF(OR(NOT(ISNUMBER(Raw_HR_Data!F164)),NOT(ISNUMBER(Raw_HR_Data!G164)),NOT(ISNUMBER(Raw_HR_Data!H164)),NOT(ISNUMBER(Raw_HR_Data!I164))),"Check Source Data",IF(Raw_HR_Data!J164=Raw_HR_Data!F164+Raw_HR_Data!G164+Raw_HR_Data!H164-Raw_HR_Data!I164,"OK","Net Pay Error"))</x:f>
        <x:v>OK</x:v>
      </x:c>
      <x:c r="J166" s="17" t="str">
        <x:f>IF(Raw_HR_Data!K164="","Missing Bank Status","OK")</x:f>
        <x:v>OK</x:v>
      </x:c>
      <x:c r="K166" s="17" t="str">
        <x:f>IF(Raw_HR_Data!L164="","Missing PAN","OK")</x:f>
        <x:v>OK</x:v>
      </x:c>
      <x:c r="L166" s="17" t="str">
        <x:f>IF(Raw_HR_Data!M164&gt;31,"Invalid Attendance","OK")</x:f>
        <x:v>OK</x:v>
      </x:c>
      <x:c r="M166" s="17" t="str">
        <x:f>IF(OR(Raw_HR_Data!N164&gt;10,Raw_HR_Data!N164&gt;Raw_HR_Data!M164),"Invalid Leave","OK")</x:f>
        <x:v>OK</x:v>
      </x:c>
      <x:c r="N166" s="17" t="str">
        <x:f>IF(OR(Raw_HR_Data!O164="Processed",Raw_HR_Data!O164="Pending",Raw_HR_Data!O164="Hold"),"OK","Invalid Payroll Status")</x:f>
        <x:v>OK</x:v>
      </x:c>
      <x:c r="O166" s="17">
        <x:f>COUNTIF(D166:N166,"&lt;&gt;OK")-COUNTIF(I166,"Check Source Data")+IF(I166="Check Source Data",1,0)</x:f>
        <x:v>0</x:v>
      </x:c>
      <x:c r="P166" s="17" t="str">
        <x:f>IF(O166=0,"Clean","Error Found")</x:f>
        <x:v>Clean</x:v>
      </x:c>
      <x:c r="Q166" s="18" t="str">
        <x:f>IF(P166="Clean","No action needed","Review raw record and update Validated_Data")</x:f>
        <x:v>No action needed</x:v>
      </x:c>
    </x:row>
    <x:row r="167">
      <x:c r="A167" s="15" t="str">
        <x:f>Raw_HR_Data!A165</x:f>
        <x:v>EMP11238</x:v>
      </x:c>
      <x:c r="B167" s="16" t="str">
        <x:f>Raw_HR_Data!B165</x:f>
        <x:v>Ethan Brown</x:v>
      </x:c>
      <x:c r="C167" s="16" t="str">
        <x:f>Raw_HR_Data!C165</x:f>
        <x:v>Audit Support</x:v>
      </x:c>
      <x:c r="D167" s="17" t="str">
        <x:f>IF(COUNTIF(Raw_HR_Data!$A$2:$A$221,A167)&gt;1,"Duplicate","OK")</x:f>
        <x:v>OK</x:v>
      </x:c>
      <x:c r="E167" s="17" t="str">
        <x:f>IF(B167="","Missing Name","OK")</x:f>
        <x:v>OK</x:v>
      </x:c>
      <x:c r="F167" s="17" t="str">
        <x:f>IF(Raw_HR_Data!F165="","Missing Salary","OK")</x:f>
        <x:v>OK</x:v>
      </x:c>
      <x:c r="G167" s="17" t="str">
        <x:f>IF(AND(Raw_HR_Data!F165&lt;&gt;"",NOT(ISNUMBER(Raw_HR_Data!F165))),"Invalid Salary Type","OK")</x:f>
        <x:v>OK</x:v>
      </x:c>
      <x:c r="H167" s="17" t="str">
        <x:f>IF(Raw_HR_Data!I165&lt;0,"Invalid Deduction","OK")</x:f>
        <x:v>OK</x:v>
      </x:c>
      <x:c r="I167" s="17" t="str">
        <x:f>IF(OR(NOT(ISNUMBER(Raw_HR_Data!F165)),NOT(ISNUMBER(Raw_HR_Data!G165)),NOT(ISNUMBER(Raw_HR_Data!H165)),NOT(ISNUMBER(Raw_HR_Data!I165))),"Check Source Data",IF(Raw_HR_Data!J165=Raw_HR_Data!F165+Raw_HR_Data!G165+Raw_HR_Data!H165-Raw_HR_Data!I165,"OK","Net Pay Error"))</x:f>
        <x:v>OK</x:v>
      </x:c>
      <x:c r="J167" s="17" t="str">
        <x:f>IF(Raw_HR_Data!K165="","Missing Bank Status","OK")</x:f>
        <x:v>OK</x:v>
      </x:c>
      <x:c r="K167" s="17" t="str">
        <x:f>IF(Raw_HR_Data!L165="","Missing PAN","OK")</x:f>
        <x:v>OK</x:v>
      </x:c>
      <x:c r="L167" s="17" t="str">
        <x:f>IF(Raw_HR_Data!M165&gt;31,"Invalid Attendance","OK")</x:f>
        <x:v>OK</x:v>
      </x:c>
      <x:c r="M167" s="17" t="str">
        <x:f>IF(OR(Raw_HR_Data!N165&gt;10,Raw_HR_Data!N165&gt;Raw_HR_Data!M165),"Invalid Leave","OK")</x:f>
        <x:v>OK</x:v>
      </x:c>
      <x:c r="N167" s="17" t="str">
        <x:f>IF(OR(Raw_HR_Data!O165="Processed",Raw_HR_Data!O165="Pending",Raw_HR_Data!O165="Hold"),"OK","Invalid Payroll Status")</x:f>
        <x:v>OK</x:v>
      </x:c>
      <x:c r="O167" s="17">
        <x:f>COUNTIF(D167:N167,"&lt;&gt;OK")-COUNTIF(I167,"Check Source Data")+IF(I167="Check Source Data",1,0)</x:f>
        <x:v>0</x:v>
      </x:c>
      <x:c r="P167" s="17" t="str">
        <x:f>IF(O167=0,"Clean","Error Found")</x:f>
        <x:v>Clean</x:v>
      </x:c>
      <x:c r="Q167" s="18" t="str">
        <x:f>IF(P167="Clean","No action needed","Review raw record and update Validated_Data")</x:f>
        <x:v>No action needed</x:v>
      </x:c>
    </x:row>
    <x:row r="168">
      <x:c r="A168" s="15" t="str">
        <x:f>Raw_HR_Data!A166</x:f>
        <x:v>EMP99709</x:v>
      </x:c>
      <x:c r="B168" s="16" t="str">
        <x:f>Raw_HR_Data!B166</x:f>
        <x:v>Liam Verma</x:v>
      </x:c>
      <x:c r="C168" s="16" t="str">
        <x:f>Raw_HR_Data!C166</x:f>
        <x:v>Tax Support</x:v>
      </x:c>
      <x:c r="D168" s="17" t="str">
        <x:f>IF(COUNTIF(Raw_HR_Data!$A$2:$A$221,A168)&gt;1,"Duplicate","OK")</x:f>
        <x:v>OK</x:v>
      </x:c>
      <x:c r="E168" s="17" t="str">
        <x:f>IF(B168="","Missing Name","OK")</x:f>
        <x:v>OK</x:v>
      </x:c>
      <x:c r="F168" s="17" t="str">
        <x:f>IF(Raw_HR_Data!F166="","Missing Salary","OK")</x:f>
        <x:v>OK</x:v>
      </x:c>
      <x:c r="G168" s="17" t="str">
        <x:f>IF(AND(Raw_HR_Data!F166&lt;&gt;"",NOT(ISNUMBER(Raw_HR_Data!F166))),"Invalid Salary Type","OK")</x:f>
        <x:v>OK</x:v>
      </x:c>
      <x:c r="H168" s="17" t="str">
        <x:f>IF(Raw_HR_Data!I166&lt;0,"Invalid Deduction","OK")</x:f>
        <x:v>OK</x:v>
      </x:c>
      <x:c r="I168" s="17" t="str">
        <x:f>IF(OR(NOT(ISNUMBER(Raw_HR_Data!F166)),NOT(ISNUMBER(Raw_HR_Data!G166)),NOT(ISNUMBER(Raw_HR_Data!H166)),NOT(ISNUMBER(Raw_HR_Data!I166))),"Check Source Data",IF(Raw_HR_Data!J166=Raw_HR_Data!F166+Raw_HR_Data!G166+Raw_HR_Data!H166-Raw_HR_Data!I166,"OK","Net Pay Error"))</x:f>
        <x:v>OK</x:v>
      </x:c>
      <x:c r="J168" s="17" t="str">
        <x:f>IF(Raw_HR_Data!K166="","Missing Bank Status","OK")</x:f>
        <x:v>OK</x:v>
      </x:c>
      <x:c r="K168" s="17" t="str">
        <x:f>IF(Raw_HR_Data!L166="","Missing PAN","OK")</x:f>
        <x:v>OK</x:v>
      </x:c>
      <x:c r="L168" s="17" t="str">
        <x:f>IF(Raw_HR_Data!M166&gt;31,"Invalid Attendance","OK")</x:f>
        <x:v>OK</x:v>
      </x:c>
      <x:c r="M168" s="17" t="str">
        <x:f>IF(OR(Raw_HR_Data!N166&gt;10,Raw_HR_Data!N166&gt;Raw_HR_Data!M166),"Invalid Leave","OK")</x:f>
        <x:v>OK</x:v>
      </x:c>
      <x:c r="N168" s="17" t="str">
        <x:f>IF(OR(Raw_HR_Data!O166="Processed",Raw_HR_Data!O166="Pending",Raw_HR_Data!O166="Hold"),"OK","Invalid Payroll Status")</x:f>
        <x:v>OK</x:v>
      </x:c>
      <x:c r="O168" s="17">
        <x:f>COUNTIF(D168:N168,"&lt;&gt;OK")-COUNTIF(I168,"Check Source Data")+IF(I168="Check Source Data",1,0)</x:f>
        <x:v>0</x:v>
      </x:c>
      <x:c r="P168" s="17" t="str">
        <x:f>IF(O168=0,"Clean","Error Found")</x:f>
        <x:v>Clean</x:v>
      </x:c>
      <x:c r="Q168" s="18" t="str">
        <x:f>IF(P168="Clean","No action needed","Review raw record and update Validated_Data")</x:f>
        <x:v>No action needed</x:v>
      </x:c>
    </x:row>
    <x:row r="169">
      <x:c r="A169" s="15" t="str">
        <x:f>Raw_HR_Data!A167</x:f>
        <x:v>EMP41519</x:v>
      </x:c>
      <x:c r="B169" s="16" t="str">
        <x:f>Raw_HR_Data!B167</x:f>
        <x:v>Priya Reddy</x:v>
      </x:c>
      <x:c r="C169" s="16" t="str">
        <x:f>Raw_HR_Data!C167</x:f>
        <x:v>Tax Support</x:v>
      </x:c>
      <x:c r="D169" s="17" t="str">
        <x:f>IF(COUNTIF(Raw_HR_Data!$A$2:$A$221,A169)&gt;1,"Duplicate","OK")</x:f>
        <x:v>OK</x:v>
      </x:c>
      <x:c r="E169" s="17" t="str">
        <x:f>IF(B169="","Missing Name","OK")</x:f>
        <x:v>OK</x:v>
      </x:c>
      <x:c r="F169" s="17" t="str">
        <x:f>IF(Raw_HR_Data!F167="","Missing Salary","OK")</x:f>
        <x:v>OK</x:v>
      </x:c>
      <x:c r="G169" s="17" t="str">
        <x:f>IF(AND(Raw_HR_Data!F167&lt;&gt;"",NOT(ISNUMBER(Raw_HR_Data!F167))),"Invalid Salary Type","OK")</x:f>
        <x:v>OK</x:v>
      </x:c>
      <x:c r="H169" s="17" t="str">
        <x:f>IF(Raw_HR_Data!I167&lt;0,"Invalid Deduction","OK")</x:f>
        <x:v>OK</x:v>
      </x:c>
      <x:c r="I169" s="17" t="str">
        <x:f>IF(OR(NOT(ISNUMBER(Raw_HR_Data!F167)),NOT(ISNUMBER(Raw_HR_Data!G167)),NOT(ISNUMBER(Raw_HR_Data!H167)),NOT(ISNUMBER(Raw_HR_Data!I167))),"Check Source Data",IF(Raw_HR_Data!J167=Raw_HR_Data!F167+Raw_HR_Data!G167+Raw_HR_Data!H167-Raw_HR_Data!I167,"OK","Net Pay Error"))</x:f>
        <x:v>OK</x:v>
      </x:c>
      <x:c r="J169" s="17" t="str">
        <x:f>IF(Raw_HR_Data!K167="","Missing Bank Status","OK")</x:f>
        <x:v>Missing Bank Status</x:v>
      </x:c>
      <x:c r="K169" s="17" t="str">
        <x:f>IF(Raw_HR_Data!L167="","Missing PAN","OK")</x:f>
        <x:v>OK</x:v>
      </x:c>
      <x:c r="L169" s="17" t="str">
        <x:f>IF(Raw_HR_Data!M167&gt;31,"Invalid Attendance","OK")</x:f>
        <x:v>OK</x:v>
      </x:c>
      <x:c r="M169" s="17" t="str">
        <x:f>IF(OR(Raw_HR_Data!N167&gt;10,Raw_HR_Data!N167&gt;Raw_HR_Data!M167),"Invalid Leave","OK")</x:f>
        <x:v>OK</x:v>
      </x:c>
      <x:c r="N169" s="17" t="str">
        <x:f>IF(OR(Raw_HR_Data!O167="Processed",Raw_HR_Data!O167="Pending",Raw_HR_Data!O167="Hold"),"OK","Invalid Payroll Status")</x:f>
        <x:v>OK</x:v>
      </x:c>
      <x:c r="O169" s="17">
        <x:f>COUNTIF(D169:N169,"&lt;&gt;OK")-COUNTIF(I169,"Check Source Data")+IF(I169="Check Source Data",1,0)</x:f>
        <x:v>1</x:v>
      </x:c>
      <x:c r="P169" s="17" t="str">
        <x:f>IF(O169=0,"Clean","Error Found")</x:f>
        <x:v>Error Found</x:v>
      </x:c>
      <x:c r="Q169" s="18" t="str">
        <x:f>IF(P169="Clean","No action needed","Review raw record and update Validated_Data")</x:f>
        <x:v>Review raw record and update Validated_Data</x:v>
      </x:c>
    </x:row>
    <x:row r="170">
      <x:c r="A170" s="15" t="str">
        <x:f>Raw_HR_Data!A168</x:f>
        <x:v>EMP19963</x:v>
      </x:c>
      <x:c r="B170" s="16" t="str">
        <x:f>Raw_HR_Data!B168</x:f>
        <x:v>Noah Pillai</x:v>
      </x:c>
      <x:c r="C170" s="16" t="str">
        <x:f>Raw_HR_Data!C168</x:f>
        <x:v>Consulting Ops</x:v>
      </x:c>
      <x:c r="D170" s="17" t="str">
        <x:f>IF(COUNTIF(Raw_HR_Data!$A$2:$A$221,A170)&gt;1,"Duplicate","OK")</x:f>
        <x:v>OK</x:v>
      </x:c>
      <x:c r="E170" s="17" t="str">
        <x:f>IF(B170="","Missing Name","OK")</x:f>
        <x:v>OK</x:v>
      </x:c>
      <x:c r="F170" s="17" t="str">
        <x:f>IF(Raw_HR_Data!F168="","Missing Salary","OK")</x:f>
        <x:v>OK</x:v>
      </x:c>
      <x:c r="G170" s="17" t="str">
        <x:f>IF(AND(Raw_HR_Data!F168&lt;&gt;"",NOT(ISNUMBER(Raw_HR_Data!F168))),"Invalid Salary Type","OK")</x:f>
        <x:v>OK</x:v>
      </x:c>
      <x:c r="H170" s="17" t="str">
        <x:f>IF(Raw_HR_Data!I168&lt;0,"Invalid Deduction","OK")</x:f>
        <x:v>OK</x:v>
      </x:c>
      <x:c r="I170" s="17" t="str">
        <x:f>IF(OR(NOT(ISNUMBER(Raw_HR_Data!F168)),NOT(ISNUMBER(Raw_HR_Data!G168)),NOT(ISNUMBER(Raw_HR_Data!H168)),NOT(ISNUMBER(Raw_HR_Data!I168))),"Check Source Data",IF(Raw_HR_Data!J168=Raw_HR_Data!F168+Raw_HR_Data!G168+Raw_HR_Data!H168-Raw_HR_Data!I168,"OK","Net Pay Error"))</x:f>
        <x:v>OK</x:v>
      </x:c>
      <x:c r="J170" s="17" t="str">
        <x:f>IF(Raw_HR_Data!K168="","Missing Bank Status","OK")</x:f>
        <x:v>OK</x:v>
      </x:c>
      <x:c r="K170" s="17" t="str">
        <x:f>IF(Raw_HR_Data!L168="","Missing PAN","OK")</x:f>
        <x:v>OK</x:v>
      </x:c>
      <x:c r="L170" s="17" t="str">
        <x:f>IF(Raw_HR_Data!M168&gt;31,"Invalid Attendance","OK")</x:f>
        <x:v>OK</x:v>
      </x:c>
      <x:c r="M170" s="17" t="str">
        <x:f>IF(OR(Raw_HR_Data!N168&gt;10,Raw_HR_Data!N168&gt;Raw_HR_Data!M168),"Invalid Leave","OK")</x:f>
        <x:v>OK</x:v>
      </x:c>
      <x:c r="N170" s="17" t="str">
        <x:f>IF(OR(Raw_HR_Data!O168="Processed",Raw_HR_Data!O168="Pending",Raw_HR_Data!O168="Hold"),"OK","Invalid Payroll Status")</x:f>
        <x:v>OK</x:v>
      </x:c>
      <x:c r="O170" s="17">
        <x:f>COUNTIF(D170:N170,"&lt;&gt;OK")-COUNTIF(I170,"Check Source Data")+IF(I170="Check Source Data",1,0)</x:f>
        <x:v>0</x:v>
      </x:c>
      <x:c r="P170" s="17" t="str">
        <x:f>IF(O170=0,"Clean","Error Found")</x:f>
        <x:v>Clean</x:v>
      </x:c>
      <x:c r="Q170" s="18" t="str">
        <x:f>IF(P170="Clean","No action needed","Review raw record and update Validated_Data")</x:f>
        <x:v>No action needed</x:v>
      </x:c>
    </x:row>
    <x:row r="171">
      <x:c r="A171" s="15" t="str">
        <x:f>Raw_HR_Data!A169</x:f>
        <x:v>EMP96595</x:v>
      </x:c>
      <x:c r="B171" s="16" t="str">
        <x:f>Raw_HR_Data!B169</x:f>
        <x:v>Priya Brown</x:v>
      </x:c>
      <x:c r="C171" s="16" t="str">
        <x:f>Raw_HR_Data!C169</x:f>
        <x:v>Consulting Ops</x:v>
      </x:c>
      <x:c r="D171" s="17" t="str">
        <x:f>IF(COUNTIF(Raw_HR_Data!$A$2:$A$221,A171)&gt;1,"Duplicate","OK")</x:f>
        <x:v>OK</x:v>
      </x:c>
      <x:c r="E171" s="17" t="str">
        <x:f>IF(B171="","Missing Name","OK")</x:f>
        <x:v>OK</x:v>
      </x:c>
      <x:c r="F171" s="17" t="str">
        <x:f>IF(Raw_HR_Data!F169="","Missing Salary","OK")</x:f>
        <x:v>OK</x:v>
      </x:c>
      <x:c r="G171" s="17" t="str">
        <x:f>IF(AND(Raw_HR_Data!F169&lt;&gt;"",NOT(ISNUMBER(Raw_HR_Data!F169))),"Invalid Salary Type","OK")</x:f>
        <x:v>OK</x:v>
      </x:c>
      <x:c r="H171" s="17" t="str">
        <x:f>IF(Raw_HR_Data!I169&lt;0,"Invalid Deduction","OK")</x:f>
        <x:v>OK</x:v>
      </x:c>
      <x:c r="I171" s="17" t="str">
        <x:f>IF(OR(NOT(ISNUMBER(Raw_HR_Data!F169)),NOT(ISNUMBER(Raw_HR_Data!G169)),NOT(ISNUMBER(Raw_HR_Data!H169)),NOT(ISNUMBER(Raw_HR_Data!I169))),"Check Source Data",IF(Raw_HR_Data!J169=Raw_HR_Data!F169+Raw_HR_Data!G169+Raw_HR_Data!H169-Raw_HR_Data!I169,"OK","Net Pay Error"))</x:f>
        <x:v>OK</x:v>
      </x:c>
      <x:c r="J171" s="17" t="str">
        <x:f>IF(Raw_HR_Data!K169="","Missing Bank Status","OK")</x:f>
        <x:v>OK</x:v>
      </x:c>
      <x:c r="K171" s="17" t="str">
        <x:f>IF(Raw_HR_Data!L169="","Missing PAN","OK")</x:f>
        <x:v>OK</x:v>
      </x:c>
      <x:c r="L171" s="17" t="str">
        <x:f>IF(Raw_HR_Data!M169&gt;31,"Invalid Attendance","OK")</x:f>
        <x:v>OK</x:v>
      </x:c>
      <x:c r="M171" s="17" t="str">
        <x:f>IF(OR(Raw_HR_Data!N169&gt;10,Raw_HR_Data!N169&gt;Raw_HR_Data!M169),"Invalid Leave","OK")</x:f>
        <x:v>OK</x:v>
      </x:c>
      <x:c r="N171" s="17" t="str">
        <x:f>IF(OR(Raw_HR_Data!O169="Processed",Raw_HR_Data!O169="Pending",Raw_HR_Data!O169="Hold"),"OK","Invalid Payroll Status")</x:f>
        <x:v>OK</x:v>
      </x:c>
      <x:c r="O171" s="17">
        <x:f>COUNTIF(D171:N171,"&lt;&gt;OK")-COUNTIF(I171,"Check Source Data")+IF(I171="Check Source Data",1,0)</x:f>
        <x:v>0</x:v>
      </x:c>
      <x:c r="P171" s="17" t="str">
        <x:f>IF(O171=0,"Clean","Error Found")</x:f>
        <x:v>Clean</x:v>
      </x:c>
      <x:c r="Q171" s="18" t="str">
        <x:f>IF(P171="Clean","No action needed","Review raw record and update Validated_Data")</x:f>
        <x:v>No action needed</x:v>
      </x:c>
    </x:row>
    <x:row r="172">
      <x:c r="A172" s="15" t="str">
        <x:f>Raw_HR_Data!A170</x:f>
        <x:v>EMP23965</x:v>
      </x:c>
      <x:c r="B172" s="16" t="str">
        <x:f>Raw_HR_Data!B170</x:f>
        <x:v>Arjun Anderson</x:v>
      </x:c>
      <x:c r="C172" s="16" t="str">
        <x:f>Raw_HR_Data!C170</x:f>
        <x:v>Talent Ops</x:v>
      </x:c>
      <x:c r="D172" s="17" t="str">
        <x:f>IF(COUNTIF(Raw_HR_Data!$A$2:$A$221,A172)&gt;1,"Duplicate","OK")</x:f>
        <x:v>OK</x:v>
      </x:c>
      <x:c r="E172" s="17" t="str">
        <x:f>IF(B172="","Missing Name","OK")</x:f>
        <x:v>OK</x:v>
      </x:c>
      <x:c r="F172" s="17" t="str">
        <x:f>IF(Raw_HR_Data!F170="","Missing Salary","OK")</x:f>
        <x:v>OK</x:v>
      </x:c>
      <x:c r="G172" s="17" t="str">
        <x:f>IF(AND(Raw_HR_Data!F170&lt;&gt;"",NOT(ISNUMBER(Raw_HR_Data!F170))),"Invalid Salary Type","OK")</x:f>
        <x:v>OK</x:v>
      </x:c>
      <x:c r="H172" s="17" t="str">
        <x:f>IF(Raw_HR_Data!I170&lt;0,"Invalid Deduction","OK")</x:f>
        <x:v>OK</x:v>
      </x:c>
      <x:c r="I172" s="17" t="str">
        <x:f>IF(OR(NOT(ISNUMBER(Raw_HR_Data!F170)),NOT(ISNUMBER(Raw_HR_Data!G170)),NOT(ISNUMBER(Raw_HR_Data!H170)),NOT(ISNUMBER(Raw_HR_Data!I170))),"Check Source Data",IF(Raw_HR_Data!J170=Raw_HR_Data!F170+Raw_HR_Data!G170+Raw_HR_Data!H170-Raw_HR_Data!I170,"OK","Net Pay Error"))</x:f>
        <x:v>OK</x:v>
      </x:c>
      <x:c r="J172" s="17" t="str">
        <x:f>IF(Raw_HR_Data!K170="","Missing Bank Status","OK")</x:f>
        <x:v>OK</x:v>
      </x:c>
      <x:c r="K172" s="17" t="str">
        <x:f>IF(Raw_HR_Data!L170="","Missing PAN","OK")</x:f>
        <x:v>OK</x:v>
      </x:c>
      <x:c r="L172" s="17" t="str">
        <x:f>IF(Raw_HR_Data!M170&gt;31,"Invalid Attendance","OK")</x:f>
        <x:v>OK</x:v>
      </x:c>
      <x:c r="M172" s="17" t="str">
        <x:f>IF(OR(Raw_HR_Data!N170&gt;10,Raw_HR_Data!N170&gt;Raw_HR_Data!M170),"Invalid Leave","OK")</x:f>
        <x:v>OK</x:v>
      </x:c>
      <x:c r="N172" s="17" t="str">
        <x:f>IF(OR(Raw_HR_Data!O170="Processed",Raw_HR_Data!O170="Pending",Raw_HR_Data!O170="Hold"),"OK","Invalid Payroll Status")</x:f>
        <x:v>OK</x:v>
      </x:c>
      <x:c r="O172" s="17">
        <x:f>COUNTIF(D172:N172,"&lt;&gt;OK")-COUNTIF(I172,"Check Source Data")+IF(I172="Check Source Data",1,0)</x:f>
        <x:v>0</x:v>
      </x:c>
      <x:c r="P172" s="17" t="str">
        <x:f>IF(O172=0,"Clean","Error Found")</x:f>
        <x:v>Clean</x:v>
      </x:c>
      <x:c r="Q172" s="18" t="str">
        <x:f>IF(P172="Clean","No action needed","Review raw record and update Validated_Data")</x:f>
        <x:v>No action needed</x:v>
      </x:c>
    </x:row>
    <x:row r="173">
      <x:c r="A173" s="15" t="str">
        <x:f>Raw_HR_Data!A171</x:f>
        <x:v>EMP82642</x:v>
      </x:c>
      <x:c r="B173" s="16" t="str">
        <x:f>Raw_HR_Data!B171</x:f>
        <x:v>Arjun Pillai</x:v>
      </x:c>
      <x:c r="C173" s="16" t="str">
        <x:f>Raw_HR_Data!C171</x:f>
        <x:v>Consulting Ops</x:v>
      </x:c>
      <x:c r="D173" s="17" t="str">
        <x:f>IF(COUNTIF(Raw_HR_Data!$A$2:$A$221,A173)&gt;1,"Duplicate","OK")</x:f>
        <x:v>OK</x:v>
      </x:c>
      <x:c r="E173" s="17" t="str">
        <x:f>IF(B173="","Missing Name","OK")</x:f>
        <x:v>OK</x:v>
      </x:c>
      <x:c r="F173" s="17" t="str">
        <x:f>IF(Raw_HR_Data!F171="","Missing Salary","OK")</x:f>
        <x:v>OK</x:v>
      </x:c>
      <x:c r="G173" s="17" t="str">
        <x:f>IF(AND(Raw_HR_Data!F171&lt;&gt;"",NOT(ISNUMBER(Raw_HR_Data!F171))),"Invalid Salary Type","OK")</x:f>
        <x:v>OK</x:v>
      </x:c>
      <x:c r="H173" s="17" t="str">
        <x:f>IF(Raw_HR_Data!I171&lt;0,"Invalid Deduction","OK")</x:f>
        <x:v>OK</x:v>
      </x:c>
      <x:c r="I173" s="17" t="str">
        <x:f>IF(OR(NOT(ISNUMBER(Raw_HR_Data!F171)),NOT(ISNUMBER(Raw_HR_Data!G171)),NOT(ISNUMBER(Raw_HR_Data!H171)),NOT(ISNUMBER(Raw_HR_Data!I171))),"Check Source Data",IF(Raw_HR_Data!J171=Raw_HR_Data!F171+Raw_HR_Data!G171+Raw_HR_Data!H171-Raw_HR_Data!I171,"OK","Net Pay Error"))</x:f>
        <x:v>OK</x:v>
      </x:c>
      <x:c r="J173" s="17" t="str">
        <x:f>IF(Raw_HR_Data!K171="","Missing Bank Status","OK")</x:f>
        <x:v>OK</x:v>
      </x:c>
      <x:c r="K173" s="17" t="str">
        <x:f>IF(Raw_HR_Data!L171="","Missing PAN","OK")</x:f>
        <x:v>OK</x:v>
      </x:c>
      <x:c r="L173" s="17" t="str">
        <x:f>IF(Raw_HR_Data!M171&gt;31,"Invalid Attendance","OK")</x:f>
        <x:v>OK</x:v>
      </x:c>
      <x:c r="M173" s="17" t="str">
        <x:f>IF(OR(Raw_HR_Data!N171&gt;10,Raw_HR_Data!N171&gt;Raw_HR_Data!M171),"Invalid Leave","OK")</x:f>
        <x:v>OK</x:v>
      </x:c>
      <x:c r="N173" s="17" t="str">
        <x:f>IF(OR(Raw_HR_Data!O171="Processed",Raw_HR_Data!O171="Pending",Raw_HR_Data!O171="Hold"),"OK","Invalid Payroll Status")</x:f>
        <x:v>OK</x:v>
      </x:c>
      <x:c r="O173" s="17">
        <x:f>COUNTIF(D173:N173,"&lt;&gt;OK")-COUNTIF(I173,"Check Source Data")+IF(I173="Check Source Data",1,0)</x:f>
        <x:v>0</x:v>
      </x:c>
      <x:c r="P173" s="17" t="str">
        <x:f>IF(O173=0,"Clean","Error Found")</x:f>
        <x:v>Clean</x:v>
      </x:c>
      <x:c r="Q173" s="18" t="str">
        <x:f>IF(P173="Clean","No action needed","Review raw record and update Validated_Data")</x:f>
        <x:v>No action needed</x:v>
      </x:c>
    </x:row>
    <x:row r="174">
      <x:c r="A174" s="15" t="str">
        <x:f>Raw_HR_Data!A172</x:f>
        <x:v>EMP59903</x:v>
      </x:c>
      <x:c r="B174" s="16" t="str">
        <x:f>Raw_HR_Data!B172</x:f>
        <x:v>Ethan Desai</x:v>
      </x:c>
      <x:c r="C174" s="16" t="str">
        <x:f>Raw_HR_Data!C172</x:f>
        <x:v>Talent Ops</x:v>
      </x:c>
      <x:c r="D174" s="17" t="str">
        <x:f>IF(COUNTIF(Raw_HR_Data!$A$2:$A$221,A174)&gt;1,"Duplicate","OK")</x:f>
        <x:v>OK</x:v>
      </x:c>
      <x:c r="E174" s="17" t="str">
        <x:f>IF(B174="","Missing Name","OK")</x:f>
        <x:v>OK</x:v>
      </x:c>
      <x:c r="F174" s="17" t="str">
        <x:f>IF(Raw_HR_Data!F172="","Missing Salary","OK")</x:f>
        <x:v>OK</x:v>
      </x:c>
      <x:c r="G174" s="17" t="str">
        <x:f>IF(AND(Raw_HR_Data!F172&lt;&gt;"",NOT(ISNUMBER(Raw_HR_Data!F172))),"Invalid Salary Type","OK")</x:f>
        <x:v>OK</x:v>
      </x:c>
      <x:c r="H174" s="17" t="str">
        <x:f>IF(Raw_HR_Data!I172&lt;0,"Invalid Deduction","OK")</x:f>
        <x:v>OK</x:v>
      </x:c>
      <x:c r="I174" s="17" t="str">
        <x:f>IF(OR(NOT(ISNUMBER(Raw_HR_Data!F172)),NOT(ISNUMBER(Raw_HR_Data!G172)),NOT(ISNUMBER(Raw_HR_Data!H172)),NOT(ISNUMBER(Raw_HR_Data!I172))),"Check Source Data",IF(Raw_HR_Data!J172=Raw_HR_Data!F172+Raw_HR_Data!G172+Raw_HR_Data!H172-Raw_HR_Data!I172,"OK","Net Pay Error"))</x:f>
        <x:v>OK</x:v>
      </x:c>
      <x:c r="J174" s="17" t="str">
        <x:f>IF(Raw_HR_Data!K172="","Missing Bank Status","OK")</x:f>
        <x:v>OK</x:v>
      </x:c>
      <x:c r="K174" s="17" t="str">
        <x:f>IF(Raw_HR_Data!L172="","Missing PAN","OK")</x:f>
        <x:v>OK</x:v>
      </x:c>
      <x:c r="L174" s="17" t="str">
        <x:f>IF(Raw_HR_Data!M172&gt;31,"Invalid Attendance","OK")</x:f>
        <x:v>OK</x:v>
      </x:c>
      <x:c r="M174" s="17" t="str">
        <x:f>IF(OR(Raw_HR_Data!N172&gt;10,Raw_HR_Data!N172&gt;Raw_HR_Data!M172),"Invalid Leave","OK")</x:f>
        <x:v>OK</x:v>
      </x:c>
      <x:c r="N174" s="17" t="str">
        <x:f>IF(OR(Raw_HR_Data!O172="Processed",Raw_HR_Data!O172="Pending",Raw_HR_Data!O172="Hold"),"OK","Invalid Payroll Status")</x:f>
        <x:v>OK</x:v>
      </x:c>
      <x:c r="O174" s="17">
        <x:f>COUNTIF(D174:N174,"&lt;&gt;OK")-COUNTIF(I174,"Check Source Data")+IF(I174="Check Source Data",1,0)</x:f>
        <x:v>0</x:v>
      </x:c>
      <x:c r="P174" s="17" t="str">
        <x:f>IF(O174=0,"Clean","Error Found")</x:f>
        <x:v>Clean</x:v>
      </x:c>
      <x:c r="Q174" s="18" t="str">
        <x:f>IF(P174="Clean","No action needed","Review raw record and update Validated_Data")</x:f>
        <x:v>No action needed</x:v>
      </x:c>
    </x:row>
    <x:row r="175">
      <x:c r="A175" s="15" t="str">
        <x:f>Raw_HR_Data!A173</x:f>
        <x:v>EMP42990</x:v>
      </x:c>
      <x:c r="B175" s="16" t="str">
        <x:f>Raw_HR_Data!B173</x:f>
        <x:v>Kavya Sharma</x:v>
      </x:c>
      <x:c r="C175" s="16" t="str">
        <x:f>Raw_HR_Data!C173</x:f>
        <x:v>Audit Support</x:v>
      </x:c>
      <x:c r="D175" s="17" t="str">
        <x:f>IF(COUNTIF(Raw_HR_Data!$A$2:$A$221,A175)&gt;1,"Duplicate","OK")</x:f>
        <x:v>OK</x:v>
      </x:c>
      <x:c r="E175" s="17" t="str">
        <x:f>IF(B175="","Missing Name","OK")</x:f>
        <x:v>OK</x:v>
      </x:c>
      <x:c r="F175" s="17" t="str">
        <x:f>IF(Raw_HR_Data!F173="","Missing Salary","OK")</x:f>
        <x:v>OK</x:v>
      </x:c>
      <x:c r="G175" s="17" t="str">
        <x:f>IF(AND(Raw_HR_Data!F173&lt;&gt;"",NOT(ISNUMBER(Raw_HR_Data!F173))),"Invalid Salary Type","OK")</x:f>
        <x:v>OK</x:v>
      </x:c>
      <x:c r="H175" s="17" t="str">
        <x:f>IF(Raw_HR_Data!I173&lt;0,"Invalid Deduction","OK")</x:f>
        <x:v>OK</x:v>
      </x:c>
      <x:c r="I175" s="17" t="str">
        <x:f>IF(OR(NOT(ISNUMBER(Raw_HR_Data!F173)),NOT(ISNUMBER(Raw_HR_Data!G173)),NOT(ISNUMBER(Raw_HR_Data!H173)),NOT(ISNUMBER(Raw_HR_Data!I173))),"Check Source Data",IF(Raw_HR_Data!J173=Raw_HR_Data!F173+Raw_HR_Data!G173+Raw_HR_Data!H173-Raw_HR_Data!I173,"OK","Net Pay Error"))</x:f>
        <x:v>OK</x:v>
      </x:c>
      <x:c r="J175" s="17" t="str">
        <x:f>IF(Raw_HR_Data!K173="","Missing Bank Status","OK")</x:f>
        <x:v>OK</x:v>
      </x:c>
      <x:c r="K175" s="17" t="str">
        <x:f>IF(Raw_HR_Data!L173="","Missing PAN","OK")</x:f>
        <x:v>OK</x:v>
      </x:c>
      <x:c r="L175" s="17" t="str">
        <x:f>IF(Raw_HR_Data!M173&gt;31,"Invalid Attendance","OK")</x:f>
        <x:v>OK</x:v>
      </x:c>
      <x:c r="M175" s="17" t="str">
        <x:f>IF(OR(Raw_HR_Data!N173&gt;10,Raw_HR_Data!N173&gt;Raw_HR_Data!M173),"Invalid Leave","OK")</x:f>
        <x:v>OK</x:v>
      </x:c>
      <x:c r="N175" s="17" t="str">
        <x:f>IF(OR(Raw_HR_Data!O173="Processed",Raw_HR_Data!O173="Pending",Raw_HR_Data!O173="Hold"),"OK","Invalid Payroll Status")</x:f>
        <x:v>OK</x:v>
      </x:c>
      <x:c r="O175" s="17">
        <x:f>COUNTIF(D175:N175,"&lt;&gt;OK")-COUNTIF(I175,"Check Source Data")+IF(I175="Check Source Data",1,0)</x:f>
        <x:v>0</x:v>
      </x:c>
      <x:c r="P175" s="17" t="str">
        <x:f>IF(O175=0,"Clean","Error Found")</x:f>
        <x:v>Clean</x:v>
      </x:c>
      <x:c r="Q175" s="18" t="str">
        <x:f>IF(P175="Clean","No action needed","Review raw record and update Validated_Data")</x:f>
        <x:v>No action needed</x:v>
      </x:c>
    </x:row>
    <x:row r="176">
      <x:c r="A176" s="15" t="str">
        <x:f>Raw_HR_Data!A174</x:f>
        <x:v>EMP66441</x:v>
      </x:c>
      <x:c r="B176" s="16" t="str">
        <x:f>Raw_HR_Data!B174</x:f>
        <x:v>Divya Johnson</x:v>
      </x:c>
      <x:c r="C176" s="16" t="str">
        <x:f>Raw_HR_Data!C174</x:f>
        <x:v>IT Support</x:v>
      </x:c>
      <x:c r="D176" s="17" t="str">
        <x:f>IF(COUNTIF(Raw_HR_Data!$A$2:$A$221,A176)&gt;1,"Duplicate","OK")</x:f>
        <x:v>OK</x:v>
      </x:c>
      <x:c r="E176" s="17" t="str">
        <x:f>IF(B176="","Missing Name","OK")</x:f>
        <x:v>OK</x:v>
      </x:c>
      <x:c r="F176" s="17" t="str">
        <x:f>IF(Raw_HR_Data!F174="","Missing Salary","OK")</x:f>
        <x:v>OK</x:v>
      </x:c>
      <x:c r="G176" s="17" t="str">
        <x:f>IF(AND(Raw_HR_Data!F174&lt;&gt;"",NOT(ISNUMBER(Raw_HR_Data!F174))),"Invalid Salary Type","OK")</x:f>
        <x:v>OK</x:v>
      </x:c>
      <x:c r="H176" s="17" t="str">
        <x:f>IF(Raw_HR_Data!I174&lt;0,"Invalid Deduction","OK")</x:f>
        <x:v>OK</x:v>
      </x:c>
      <x:c r="I176" s="17" t="str">
        <x:f>IF(OR(NOT(ISNUMBER(Raw_HR_Data!F174)),NOT(ISNUMBER(Raw_HR_Data!G174)),NOT(ISNUMBER(Raw_HR_Data!H174)),NOT(ISNUMBER(Raw_HR_Data!I174))),"Check Source Data",IF(Raw_HR_Data!J174=Raw_HR_Data!F174+Raw_HR_Data!G174+Raw_HR_Data!H174-Raw_HR_Data!I174,"OK","Net Pay Error"))</x:f>
        <x:v>OK</x:v>
      </x:c>
      <x:c r="J176" s="17" t="str">
        <x:f>IF(Raw_HR_Data!K174="","Missing Bank Status","OK")</x:f>
        <x:v>OK</x:v>
      </x:c>
      <x:c r="K176" s="17" t="str">
        <x:f>IF(Raw_HR_Data!L174="","Missing PAN","OK")</x:f>
        <x:v>OK</x:v>
      </x:c>
      <x:c r="L176" s="17" t="str">
        <x:f>IF(Raw_HR_Data!M174&gt;31,"Invalid Attendance","OK")</x:f>
        <x:v>OK</x:v>
      </x:c>
      <x:c r="M176" s="17" t="str">
        <x:f>IF(OR(Raw_HR_Data!N174&gt;10,Raw_HR_Data!N174&gt;Raw_HR_Data!M174),"Invalid Leave","OK")</x:f>
        <x:v>OK</x:v>
      </x:c>
      <x:c r="N176" s="17" t="str">
        <x:f>IF(OR(Raw_HR_Data!O174="Processed",Raw_HR_Data!O174="Pending",Raw_HR_Data!O174="Hold"),"OK","Invalid Payroll Status")</x:f>
        <x:v>OK</x:v>
      </x:c>
      <x:c r="O176" s="17">
        <x:f>COUNTIF(D176:N176,"&lt;&gt;OK")-COUNTIF(I176,"Check Source Data")+IF(I176="Check Source Data",1,0)</x:f>
        <x:v>0</x:v>
      </x:c>
      <x:c r="P176" s="17" t="str">
        <x:f>IF(O176=0,"Clean","Error Found")</x:f>
        <x:v>Clean</x:v>
      </x:c>
      <x:c r="Q176" s="18" t="str">
        <x:f>IF(P176="Clean","No action needed","Review raw record and update Validated_Data")</x:f>
        <x:v>No action needed</x:v>
      </x:c>
    </x:row>
    <x:row r="177">
      <x:c r="A177" s="15" t="str">
        <x:f>Raw_HR_Data!A175</x:f>
        <x:v>EMP46739</x:v>
      </x:c>
      <x:c r="B177" s="16" t="str">
        <x:f>Raw_HR_Data!B175</x:f>
        <x:v>Ravi Kumar</x:v>
      </x:c>
      <x:c r="C177" s="16" t="str">
        <x:f>Raw_HR_Data!C175</x:f>
        <x:v>HR Shared Services</x:v>
      </x:c>
      <x:c r="D177" s="17" t="str">
        <x:f>IF(COUNTIF(Raw_HR_Data!$A$2:$A$221,A177)&gt;1,"Duplicate","OK")</x:f>
        <x:v>OK</x:v>
      </x:c>
      <x:c r="E177" s="17" t="str">
        <x:f>IF(B177="","Missing Name","OK")</x:f>
        <x:v>OK</x:v>
      </x:c>
      <x:c r="F177" s="17" t="str">
        <x:f>IF(Raw_HR_Data!F175="","Missing Salary","OK")</x:f>
        <x:v>OK</x:v>
      </x:c>
      <x:c r="G177" s="17" t="str">
        <x:f>IF(AND(Raw_HR_Data!F175&lt;&gt;"",NOT(ISNUMBER(Raw_HR_Data!F175))),"Invalid Salary Type","OK")</x:f>
        <x:v>OK</x:v>
      </x:c>
      <x:c r="H177" s="17" t="str">
        <x:f>IF(Raw_HR_Data!I175&lt;0,"Invalid Deduction","OK")</x:f>
        <x:v>OK</x:v>
      </x:c>
      <x:c r="I177" s="17" t="str">
        <x:f>IF(OR(NOT(ISNUMBER(Raw_HR_Data!F175)),NOT(ISNUMBER(Raw_HR_Data!G175)),NOT(ISNUMBER(Raw_HR_Data!H175)),NOT(ISNUMBER(Raw_HR_Data!I175))),"Check Source Data",IF(Raw_HR_Data!J175=Raw_HR_Data!F175+Raw_HR_Data!G175+Raw_HR_Data!H175-Raw_HR_Data!I175,"OK","Net Pay Error"))</x:f>
        <x:v>OK</x:v>
      </x:c>
      <x:c r="J177" s="17" t="str">
        <x:f>IF(Raw_HR_Data!K175="","Missing Bank Status","OK")</x:f>
        <x:v>OK</x:v>
      </x:c>
      <x:c r="K177" s="17" t="str">
        <x:f>IF(Raw_HR_Data!L175="","Missing PAN","OK")</x:f>
        <x:v>OK</x:v>
      </x:c>
      <x:c r="L177" s="17" t="str">
        <x:f>IF(Raw_HR_Data!M175&gt;31,"Invalid Attendance","OK")</x:f>
        <x:v>OK</x:v>
      </x:c>
      <x:c r="M177" s="17" t="str">
        <x:f>IF(OR(Raw_HR_Data!N175&gt;10,Raw_HR_Data!N175&gt;Raw_HR_Data!M175),"Invalid Leave","OK")</x:f>
        <x:v>OK</x:v>
      </x:c>
      <x:c r="N177" s="17" t="str">
        <x:f>IF(OR(Raw_HR_Data!O175="Processed",Raw_HR_Data!O175="Pending",Raw_HR_Data!O175="Hold"),"OK","Invalid Payroll Status")</x:f>
        <x:v>OK</x:v>
      </x:c>
      <x:c r="O177" s="17">
        <x:f>COUNTIF(D177:N177,"&lt;&gt;OK")-COUNTIF(I177,"Check Source Data")+IF(I177="Check Source Data",1,0)</x:f>
        <x:v>0</x:v>
      </x:c>
      <x:c r="P177" s="17" t="str">
        <x:f>IF(O177=0,"Clean","Error Found")</x:f>
        <x:v>Clean</x:v>
      </x:c>
      <x:c r="Q177" s="18" t="str">
        <x:f>IF(P177="Clean","No action needed","Review raw record and update Validated_Data")</x:f>
        <x:v>No action needed</x:v>
      </x:c>
    </x:row>
    <x:row r="178">
      <x:c r="A178" s="15" t="str">
        <x:f>Raw_HR_Data!A176</x:f>
        <x:v>EMP19064</x:v>
      </x:c>
      <x:c r="B178" s="16" t="str">
        <x:f>Raw_HR_Data!B176</x:f>
        <x:v>Rohan Reddy</x:v>
      </x:c>
      <x:c r="C178" s="16" t="str">
        <x:f>Raw_HR_Data!C176</x:f>
        <x:v>Audit Support</x:v>
      </x:c>
      <x:c r="D178" s="17" t="str">
        <x:f>IF(COUNTIF(Raw_HR_Data!$A$2:$A$221,A178)&gt;1,"Duplicate","OK")</x:f>
        <x:v>OK</x:v>
      </x:c>
      <x:c r="E178" s="17" t="str">
        <x:f>IF(B178="","Missing Name","OK")</x:f>
        <x:v>OK</x:v>
      </x:c>
      <x:c r="F178" s="17" t="str">
        <x:f>IF(Raw_HR_Data!F176="","Missing Salary","OK")</x:f>
        <x:v>OK</x:v>
      </x:c>
      <x:c r="G178" s="17" t="str">
        <x:f>IF(AND(Raw_HR_Data!F176&lt;&gt;"",NOT(ISNUMBER(Raw_HR_Data!F176))),"Invalid Salary Type","OK")</x:f>
        <x:v>OK</x:v>
      </x:c>
      <x:c r="H178" s="17" t="str">
        <x:f>IF(Raw_HR_Data!I176&lt;0,"Invalid Deduction","OK")</x:f>
        <x:v>OK</x:v>
      </x:c>
      <x:c r="I178" s="17" t="str">
        <x:f>IF(OR(NOT(ISNUMBER(Raw_HR_Data!F176)),NOT(ISNUMBER(Raw_HR_Data!G176)),NOT(ISNUMBER(Raw_HR_Data!H176)),NOT(ISNUMBER(Raw_HR_Data!I176))),"Check Source Data",IF(Raw_HR_Data!J176=Raw_HR_Data!F176+Raw_HR_Data!G176+Raw_HR_Data!H176-Raw_HR_Data!I176,"OK","Net Pay Error"))</x:f>
        <x:v>OK</x:v>
      </x:c>
      <x:c r="J178" s="17" t="str">
        <x:f>IF(Raw_HR_Data!K176="","Missing Bank Status","OK")</x:f>
        <x:v>OK</x:v>
      </x:c>
      <x:c r="K178" s="17" t="str">
        <x:f>IF(Raw_HR_Data!L176="","Missing PAN","OK")</x:f>
        <x:v>OK</x:v>
      </x:c>
      <x:c r="L178" s="17" t="str">
        <x:f>IF(Raw_HR_Data!M176&gt;31,"Invalid Attendance","OK")</x:f>
        <x:v>OK</x:v>
      </x:c>
      <x:c r="M178" s="17" t="str">
        <x:f>IF(OR(Raw_HR_Data!N176&gt;10,Raw_HR_Data!N176&gt;Raw_HR_Data!M176),"Invalid Leave","OK")</x:f>
        <x:v>OK</x:v>
      </x:c>
      <x:c r="N178" s="17" t="str">
        <x:f>IF(OR(Raw_HR_Data!O176="Processed",Raw_HR_Data!O176="Pending",Raw_HR_Data!O176="Hold"),"OK","Invalid Payroll Status")</x:f>
        <x:v>OK</x:v>
      </x:c>
      <x:c r="O178" s="17">
        <x:f>COUNTIF(D178:N178,"&lt;&gt;OK")-COUNTIF(I178,"Check Source Data")+IF(I178="Check Source Data",1,0)</x:f>
        <x:v>0</x:v>
      </x:c>
      <x:c r="P178" s="17" t="str">
        <x:f>IF(O178=0,"Clean","Error Found")</x:f>
        <x:v>Clean</x:v>
      </x:c>
      <x:c r="Q178" s="18" t="str">
        <x:f>IF(P178="Clean","No action needed","Review raw record and update Validated_Data")</x:f>
        <x:v>No action needed</x:v>
      </x:c>
    </x:row>
    <x:row r="179">
      <x:c r="A179" s="15" t="str">
        <x:f>Raw_HR_Data!A177</x:f>
        <x:v>EMP62534</x:v>
      </x:c>
      <x:c r="B179" s="16" t="str">
        <x:f>Raw_HR_Data!B177</x:f>
        <x:v>Rohan Nair</x:v>
      </x:c>
      <x:c r="C179" s="16" t="str">
        <x:f>Raw_HR_Data!C177</x:f>
        <x:v>Payroll Ops</x:v>
      </x:c>
      <x:c r="D179" s="17" t="str">
        <x:f>IF(COUNTIF(Raw_HR_Data!$A$2:$A$221,A179)&gt;1,"Duplicate","OK")</x:f>
        <x:v>OK</x:v>
      </x:c>
      <x:c r="E179" s="17" t="str">
        <x:f>IF(B179="","Missing Name","OK")</x:f>
        <x:v>OK</x:v>
      </x:c>
      <x:c r="F179" s="17" t="str">
        <x:f>IF(Raw_HR_Data!F177="","Missing Salary","OK")</x:f>
        <x:v>OK</x:v>
      </x:c>
      <x:c r="G179" s="17" t="str">
        <x:f>IF(AND(Raw_HR_Data!F177&lt;&gt;"",NOT(ISNUMBER(Raw_HR_Data!F177))),"Invalid Salary Type","OK")</x:f>
        <x:v>OK</x:v>
      </x:c>
      <x:c r="H179" s="17" t="str">
        <x:f>IF(Raw_HR_Data!I177&lt;0,"Invalid Deduction","OK")</x:f>
        <x:v>OK</x:v>
      </x:c>
      <x:c r="I179" s="17" t="str">
        <x:f>IF(OR(NOT(ISNUMBER(Raw_HR_Data!F177)),NOT(ISNUMBER(Raw_HR_Data!G177)),NOT(ISNUMBER(Raw_HR_Data!H177)),NOT(ISNUMBER(Raw_HR_Data!I177))),"Check Source Data",IF(Raw_HR_Data!J177=Raw_HR_Data!F177+Raw_HR_Data!G177+Raw_HR_Data!H177-Raw_HR_Data!I177,"OK","Net Pay Error"))</x:f>
        <x:v>OK</x:v>
      </x:c>
      <x:c r="J179" s="17" t="str">
        <x:f>IF(Raw_HR_Data!K177="","Missing Bank Status","OK")</x:f>
        <x:v>OK</x:v>
      </x:c>
      <x:c r="K179" s="17" t="str">
        <x:f>IF(Raw_HR_Data!L177="","Missing PAN","OK")</x:f>
        <x:v>OK</x:v>
      </x:c>
      <x:c r="L179" s="17" t="str">
        <x:f>IF(Raw_HR_Data!M177&gt;31,"Invalid Attendance","OK")</x:f>
        <x:v>OK</x:v>
      </x:c>
      <x:c r="M179" s="17" t="str">
        <x:f>IF(OR(Raw_HR_Data!N177&gt;10,Raw_HR_Data!N177&gt;Raw_HR_Data!M177),"Invalid Leave","OK")</x:f>
        <x:v>OK</x:v>
      </x:c>
      <x:c r="N179" s="17" t="str">
        <x:f>IF(OR(Raw_HR_Data!O177="Processed",Raw_HR_Data!O177="Pending",Raw_HR_Data!O177="Hold"),"OK","Invalid Payroll Status")</x:f>
        <x:v>OK</x:v>
      </x:c>
      <x:c r="O179" s="17">
        <x:f>COUNTIF(D179:N179,"&lt;&gt;OK")-COUNTIF(I179,"Check Source Data")+IF(I179="Check Source Data",1,0)</x:f>
        <x:v>0</x:v>
      </x:c>
      <x:c r="P179" s="17" t="str">
        <x:f>IF(O179=0,"Clean","Error Found")</x:f>
        <x:v>Clean</x:v>
      </x:c>
      <x:c r="Q179" s="18" t="str">
        <x:f>IF(P179="Clean","No action needed","Review raw record and update Validated_Data")</x:f>
        <x:v>No action needed</x:v>
      </x:c>
    </x:row>
    <x:row r="180">
      <x:c r="A180" s="15" t="str">
        <x:f>Raw_HR_Data!A178</x:f>
        <x:v>EMP53463</x:v>
      </x:c>
      <x:c r="B180" s="16" t="str">
        <x:f>Raw_HR_Data!B178</x:f>
        <x:v>Sneha Davis</x:v>
      </x:c>
      <x:c r="C180" s="16" t="str">
        <x:f>Raw_HR_Data!C178</x:f>
        <x:v>Payroll Ops</x:v>
      </x:c>
      <x:c r="D180" s="17" t="str">
        <x:f>IF(COUNTIF(Raw_HR_Data!$A$2:$A$221,A180)&gt;1,"Duplicate","OK")</x:f>
        <x:v>OK</x:v>
      </x:c>
      <x:c r="E180" s="17" t="str">
        <x:f>IF(B180="","Missing Name","OK")</x:f>
        <x:v>OK</x:v>
      </x:c>
      <x:c r="F180" s="17" t="str">
        <x:f>IF(Raw_HR_Data!F178="","Missing Salary","OK")</x:f>
        <x:v>OK</x:v>
      </x:c>
      <x:c r="G180" s="17" t="str">
        <x:f>IF(AND(Raw_HR_Data!F178&lt;&gt;"",NOT(ISNUMBER(Raw_HR_Data!F178))),"Invalid Salary Type","OK")</x:f>
        <x:v>OK</x:v>
      </x:c>
      <x:c r="H180" s="17" t="str">
        <x:f>IF(Raw_HR_Data!I178&lt;0,"Invalid Deduction","OK")</x:f>
        <x:v>OK</x:v>
      </x:c>
      <x:c r="I180" s="17" t="str">
        <x:f>IF(OR(NOT(ISNUMBER(Raw_HR_Data!F178)),NOT(ISNUMBER(Raw_HR_Data!G178)),NOT(ISNUMBER(Raw_HR_Data!H178)),NOT(ISNUMBER(Raw_HR_Data!I178))),"Check Source Data",IF(Raw_HR_Data!J178=Raw_HR_Data!F178+Raw_HR_Data!G178+Raw_HR_Data!H178-Raw_HR_Data!I178,"OK","Net Pay Error"))</x:f>
        <x:v>OK</x:v>
      </x:c>
      <x:c r="J180" s="17" t="str">
        <x:f>IF(Raw_HR_Data!K178="","Missing Bank Status","OK")</x:f>
        <x:v>OK</x:v>
      </x:c>
      <x:c r="K180" s="17" t="str">
        <x:f>IF(Raw_HR_Data!L178="","Missing PAN","OK")</x:f>
        <x:v>OK</x:v>
      </x:c>
      <x:c r="L180" s="17" t="str">
        <x:f>IF(Raw_HR_Data!M178&gt;31,"Invalid Attendance","OK")</x:f>
        <x:v>OK</x:v>
      </x:c>
      <x:c r="M180" s="17" t="str">
        <x:f>IF(OR(Raw_HR_Data!N178&gt;10,Raw_HR_Data!N178&gt;Raw_HR_Data!M178),"Invalid Leave","OK")</x:f>
        <x:v>OK</x:v>
      </x:c>
      <x:c r="N180" s="17" t="str">
        <x:f>IF(OR(Raw_HR_Data!O178="Processed",Raw_HR_Data!O178="Pending",Raw_HR_Data!O178="Hold"),"OK","Invalid Payroll Status")</x:f>
        <x:v>OK</x:v>
      </x:c>
      <x:c r="O180" s="17">
        <x:f>COUNTIF(D180:N180,"&lt;&gt;OK")-COUNTIF(I180,"Check Source Data")+IF(I180="Check Source Data",1,0)</x:f>
        <x:v>0</x:v>
      </x:c>
      <x:c r="P180" s="17" t="str">
        <x:f>IF(O180=0,"Clean","Error Found")</x:f>
        <x:v>Clean</x:v>
      </x:c>
      <x:c r="Q180" s="18" t="str">
        <x:f>IF(P180="Clean","No action needed","Review raw record and update Validated_Data")</x:f>
        <x:v>No action needed</x:v>
      </x:c>
    </x:row>
    <x:row r="181">
      <x:c r="A181" s="15" t="str">
        <x:f>Raw_HR_Data!A179</x:f>
        <x:v>EMP75597</x:v>
      </x:c>
      <x:c r="B181" s="16" t="str">
        <x:f>Raw_HR_Data!B179</x:f>
        <x:v>Emma Kumar</x:v>
      </x:c>
      <x:c r="C181" s="16" t="str">
        <x:f>Raw_HR_Data!C179</x:f>
        <x:v>Payroll Ops</x:v>
      </x:c>
      <x:c r="D181" s="17" t="str">
        <x:f>IF(COUNTIF(Raw_HR_Data!$A$2:$A$221,A181)&gt;1,"Duplicate","OK")</x:f>
        <x:v>OK</x:v>
      </x:c>
      <x:c r="E181" s="17" t="str">
        <x:f>IF(B181="","Missing Name","OK")</x:f>
        <x:v>OK</x:v>
      </x:c>
      <x:c r="F181" s="17" t="str">
        <x:f>IF(Raw_HR_Data!F179="","Missing Salary","OK")</x:f>
        <x:v>OK</x:v>
      </x:c>
      <x:c r="G181" s="17" t="str">
        <x:f>IF(AND(Raw_HR_Data!F179&lt;&gt;"",NOT(ISNUMBER(Raw_HR_Data!F179))),"Invalid Salary Type","OK")</x:f>
        <x:v>OK</x:v>
      </x:c>
      <x:c r="H181" s="17" t="str">
        <x:f>IF(Raw_HR_Data!I179&lt;0,"Invalid Deduction","OK")</x:f>
        <x:v>OK</x:v>
      </x:c>
      <x:c r="I181" s="17" t="str">
        <x:f>IF(OR(NOT(ISNUMBER(Raw_HR_Data!F179)),NOT(ISNUMBER(Raw_HR_Data!G179)),NOT(ISNUMBER(Raw_HR_Data!H179)),NOT(ISNUMBER(Raw_HR_Data!I179))),"Check Source Data",IF(Raw_HR_Data!J179=Raw_HR_Data!F179+Raw_HR_Data!G179+Raw_HR_Data!H179-Raw_HR_Data!I179,"OK","Net Pay Error"))</x:f>
        <x:v>OK</x:v>
      </x:c>
      <x:c r="J181" s="17" t="str">
        <x:f>IF(Raw_HR_Data!K179="","Missing Bank Status","OK")</x:f>
        <x:v>OK</x:v>
      </x:c>
      <x:c r="K181" s="17" t="str">
        <x:f>IF(Raw_HR_Data!L179="","Missing PAN","OK")</x:f>
        <x:v>OK</x:v>
      </x:c>
      <x:c r="L181" s="17" t="str">
        <x:f>IF(Raw_HR_Data!M179&gt;31,"Invalid Attendance","OK")</x:f>
        <x:v>OK</x:v>
      </x:c>
      <x:c r="M181" s="17" t="str">
        <x:f>IF(OR(Raw_HR_Data!N179&gt;10,Raw_HR_Data!N179&gt;Raw_HR_Data!M179),"Invalid Leave","OK")</x:f>
        <x:v>OK</x:v>
      </x:c>
      <x:c r="N181" s="17" t="str">
        <x:f>IF(OR(Raw_HR_Data!O179="Processed",Raw_HR_Data!O179="Pending",Raw_HR_Data!O179="Hold"),"OK","Invalid Payroll Status")</x:f>
        <x:v>OK</x:v>
      </x:c>
      <x:c r="O181" s="17">
        <x:f>COUNTIF(D181:N181,"&lt;&gt;OK")-COUNTIF(I181,"Check Source Data")+IF(I181="Check Source Data",1,0)</x:f>
        <x:v>0</x:v>
      </x:c>
      <x:c r="P181" s="17" t="str">
        <x:f>IF(O181=0,"Clean","Error Found")</x:f>
        <x:v>Clean</x:v>
      </x:c>
      <x:c r="Q181" s="18" t="str">
        <x:f>IF(P181="Clean","No action needed","Review raw record and update Validated_Data")</x:f>
        <x:v>No action needed</x:v>
      </x:c>
    </x:row>
    <x:row r="182">
      <x:c r="A182" s="15" t="str">
        <x:f>Raw_HR_Data!A180</x:f>
        <x:v>EMP73298</x:v>
      </x:c>
      <x:c r="B182" s="16" t="str">
        <x:f>Raw_HR_Data!B180</x:f>
        <x:v>Oliver Miller</x:v>
      </x:c>
      <x:c r="C182" s="16" t="str">
        <x:f>Raw_HR_Data!C180</x:f>
        <x:v>HR Shared Services</x:v>
      </x:c>
      <x:c r="D182" s="17" t="str">
        <x:f>IF(COUNTIF(Raw_HR_Data!$A$2:$A$221,A182)&gt;1,"Duplicate","OK")</x:f>
        <x:v>OK</x:v>
      </x:c>
      <x:c r="E182" s="17" t="str">
        <x:f>IF(B182="","Missing Name","OK")</x:f>
        <x:v>OK</x:v>
      </x:c>
      <x:c r="F182" s="17" t="str">
        <x:f>IF(Raw_HR_Data!F180="","Missing Salary","OK")</x:f>
        <x:v>OK</x:v>
      </x:c>
      <x:c r="G182" s="17" t="str">
        <x:f>IF(AND(Raw_HR_Data!F180&lt;&gt;"",NOT(ISNUMBER(Raw_HR_Data!F180))),"Invalid Salary Type","OK")</x:f>
        <x:v>OK</x:v>
      </x:c>
      <x:c r="H182" s="17" t="str">
        <x:f>IF(Raw_HR_Data!I180&lt;0,"Invalid Deduction","OK")</x:f>
        <x:v>OK</x:v>
      </x:c>
      <x:c r="I182" s="17" t="str">
        <x:f>IF(OR(NOT(ISNUMBER(Raw_HR_Data!F180)),NOT(ISNUMBER(Raw_HR_Data!G180)),NOT(ISNUMBER(Raw_HR_Data!H180)),NOT(ISNUMBER(Raw_HR_Data!I180))),"Check Source Data",IF(Raw_HR_Data!J180=Raw_HR_Data!F180+Raw_HR_Data!G180+Raw_HR_Data!H180-Raw_HR_Data!I180,"OK","Net Pay Error"))</x:f>
        <x:v>OK</x:v>
      </x:c>
      <x:c r="J182" s="17" t="str">
        <x:f>IF(Raw_HR_Data!K180="","Missing Bank Status","OK")</x:f>
        <x:v>OK</x:v>
      </x:c>
      <x:c r="K182" s="17" t="str">
        <x:f>IF(Raw_HR_Data!L180="","Missing PAN","OK")</x:f>
        <x:v>OK</x:v>
      </x:c>
      <x:c r="L182" s="17" t="str">
        <x:f>IF(Raw_HR_Data!M180&gt;31,"Invalid Attendance","OK")</x:f>
        <x:v>OK</x:v>
      </x:c>
      <x:c r="M182" s="17" t="str">
        <x:f>IF(OR(Raw_HR_Data!N180&gt;10,Raw_HR_Data!N180&gt;Raw_HR_Data!M180),"Invalid Leave","OK")</x:f>
        <x:v>OK</x:v>
      </x:c>
      <x:c r="N182" s="17" t="str">
        <x:f>IF(OR(Raw_HR_Data!O180="Processed",Raw_HR_Data!O180="Pending",Raw_HR_Data!O180="Hold"),"OK","Invalid Payroll Status")</x:f>
        <x:v>OK</x:v>
      </x:c>
      <x:c r="O182" s="17">
        <x:f>COUNTIF(D182:N182,"&lt;&gt;OK")-COUNTIF(I182,"Check Source Data")+IF(I182="Check Source Data",1,0)</x:f>
        <x:v>0</x:v>
      </x:c>
      <x:c r="P182" s="17" t="str">
        <x:f>IF(O182=0,"Clean","Error Found")</x:f>
        <x:v>Clean</x:v>
      </x:c>
      <x:c r="Q182" s="18" t="str">
        <x:f>IF(P182="Clean","No action needed","Review raw record and update Validated_Data")</x:f>
        <x:v>No action needed</x:v>
      </x:c>
    </x:row>
    <x:row r="183">
      <x:c r="A183" s="15" t="str">
        <x:f>Raw_HR_Data!A181</x:f>
        <x:v>EMP41970</x:v>
      </x:c>
      <x:c r="B183" s="16" t="str">
        <x:f>Raw_HR_Data!B181</x:f>
        <x:v>Fatima Nair</x:v>
      </x:c>
      <x:c r="C183" s="16" t="str">
        <x:f>Raw_HR_Data!C181</x:f>
        <x:v>Finance Ops</x:v>
      </x:c>
      <x:c r="D183" s="17" t="str">
        <x:f>IF(COUNTIF(Raw_HR_Data!$A$2:$A$221,A183)&gt;1,"Duplicate","OK")</x:f>
        <x:v>OK</x:v>
      </x:c>
      <x:c r="E183" s="17" t="str">
        <x:f>IF(B183="","Missing Name","OK")</x:f>
        <x:v>OK</x:v>
      </x:c>
      <x:c r="F183" s="17" t="str">
        <x:f>IF(Raw_HR_Data!F181="","Missing Salary","OK")</x:f>
        <x:v>OK</x:v>
      </x:c>
      <x:c r="G183" s="17" t="str">
        <x:f>IF(AND(Raw_HR_Data!F181&lt;&gt;"",NOT(ISNUMBER(Raw_HR_Data!F181))),"Invalid Salary Type","OK")</x:f>
        <x:v>OK</x:v>
      </x:c>
      <x:c r="H183" s="17" t="str">
        <x:f>IF(Raw_HR_Data!I181&lt;0,"Invalid Deduction","OK")</x:f>
        <x:v>OK</x:v>
      </x:c>
      <x:c r="I183" s="17" t="str">
        <x:f>IF(OR(NOT(ISNUMBER(Raw_HR_Data!F181)),NOT(ISNUMBER(Raw_HR_Data!G181)),NOT(ISNUMBER(Raw_HR_Data!H181)),NOT(ISNUMBER(Raw_HR_Data!I181))),"Check Source Data",IF(Raw_HR_Data!J181=Raw_HR_Data!F181+Raw_HR_Data!G181+Raw_HR_Data!H181-Raw_HR_Data!I181,"OK","Net Pay Error"))</x:f>
        <x:v>OK</x:v>
      </x:c>
      <x:c r="J183" s="17" t="str">
        <x:f>IF(Raw_HR_Data!K181="","Missing Bank Status","OK")</x:f>
        <x:v>OK</x:v>
      </x:c>
      <x:c r="K183" s="17" t="str">
        <x:f>IF(Raw_HR_Data!L181="","Missing PAN","OK")</x:f>
        <x:v>OK</x:v>
      </x:c>
      <x:c r="L183" s="17" t="str">
        <x:f>IF(Raw_HR_Data!M181&gt;31,"Invalid Attendance","OK")</x:f>
        <x:v>OK</x:v>
      </x:c>
      <x:c r="M183" s="17" t="str">
        <x:f>IF(OR(Raw_HR_Data!N181&gt;10,Raw_HR_Data!N181&gt;Raw_HR_Data!M181),"Invalid Leave","OK")</x:f>
        <x:v>OK</x:v>
      </x:c>
      <x:c r="N183" s="17" t="str">
        <x:f>IF(OR(Raw_HR_Data!O181="Processed",Raw_HR_Data!O181="Pending",Raw_HR_Data!O181="Hold"),"OK","Invalid Payroll Status")</x:f>
        <x:v>OK</x:v>
      </x:c>
      <x:c r="O183" s="17">
        <x:f>COUNTIF(D183:N183,"&lt;&gt;OK")-COUNTIF(I183,"Check Source Data")+IF(I183="Check Source Data",1,0)</x:f>
        <x:v>0</x:v>
      </x:c>
      <x:c r="P183" s="17" t="str">
        <x:f>IF(O183=0,"Clean","Error Found")</x:f>
        <x:v>Clean</x:v>
      </x:c>
      <x:c r="Q183" s="18" t="str">
        <x:f>IF(P183="Clean","No action needed","Review raw record and update Validated_Data")</x:f>
        <x:v>No action needed</x:v>
      </x:c>
    </x:row>
    <x:row r="184">
      <x:c r="A184" s="15" t="str">
        <x:f>Raw_HR_Data!A182</x:f>
        <x:v>EMP35863</x:v>
      </x:c>
      <x:c r="B184" s="16" t="str">
        <x:f>Raw_HR_Data!B182</x:f>
        <x:v>Sophie Patel</x:v>
      </x:c>
      <x:c r="C184" s="16" t="str">
        <x:f>Raw_HR_Data!C182</x:f>
        <x:v>Risk Advisory</x:v>
      </x:c>
      <x:c r="D184" s="17" t="str">
        <x:f>IF(COUNTIF(Raw_HR_Data!$A$2:$A$221,A184)&gt;1,"Duplicate","OK")</x:f>
        <x:v>OK</x:v>
      </x:c>
      <x:c r="E184" s="17" t="str">
        <x:f>IF(B184="","Missing Name","OK")</x:f>
        <x:v>OK</x:v>
      </x:c>
      <x:c r="F184" s="17" t="str">
        <x:f>IF(Raw_HR_Data!F182="","Missing Salary","OK")</x:f>
        <x:v>OK</x:v>
      </x:c>
      <x:c r="G184" s="17" t="str">
        <x:f>IF(AND(Raw_HR_Data!F182&lt;&gt;"",NOT(ISNUMBER(Raw_HR_Data!F182))),"Invalid Salary Type","OK")</x:f>
        <x:v>OK</x:v>
      </x:c>
      <x:c r="H184" s="17" t="str">
        <x:f>IF(Raw_HR_Data!I182&lt;0,"Invalid Deduction","OK")</x:f>
        <x:v>OK</x:v>
      </x:c>
      <x:c r="I184" s="17" t="str">
        <x:f>IF(OR(NOT(ISNUMBER(Raw_HR_Data!F182)),NOT(ISNUMBER(Raw_HR_Data!G182)),NOT(ISNUMBER(Raw_HR_Data!H182)),NOT(ISNUMBER(Raw_HR_Data!I182))),"Check Source Data",IF(Raw_HR_Data!J182=Raw_HR_Data!F182+Raw_HR_Data!G182+Raw_HR_Data!H182-Raw_HR_Data!I182,"OK","Net Pay Error"))</x:f>
        <x:v>OK</x:v>
      </x:c>
      <x:c r="J184" s="17" t="str">
        <x:f>IF(Raw_HR_Data!K182="","Missing Bank Status","OK")</x:f>
        <x:v>OK</x:v>
      </x:c>
      <x:c r="K184" s="17" t="str">
        <x:f>IF(Raw_HR_Data!L182="","Missing PAN","OK")</x:f>
        <x:v>OK</x:v>
      </x:c>
      <x:c r="L184" s="17" t="str">
        <x:f>IF(Raw_HR_Data!M182&gt;31,"Invalid Attendance","OK")</x:f>
        <x:v>OK</x:v>
      </x:c>
      <x:c r="M184" s="17" t="str">
        <x:f>IF(OR(Raw_HR_Data!N182&gt;10,Raw_HR_Data!N182&gt;Raw_HR_Data!M182),"Invalid Leave","OK")</x:f>
        <x:v>OK</x:v>
      </x:c>
      <x:c r="N184" s="17" t="str">
        <x:f>IF(OR(Raw_HR_Data!O182="Processed",Raw_HR_Data!O182="Pending",Raw_HR_Data!O182="Hold"),"OK","Invalid Payroll Status")</x:f>
        <x:v>OK</x:v>
      </x:c>
      <x:c r="O184" s="17">
        <x:f>COUNTIF(D184:N184,"&lt;&gt;OK")-COUNTIF(I184,"Check Source Data")+IF(I184="Check Source Data",1,0)</x:f>
        <x:v>0</x:v>
      </x:c>
      <x:c r="P184" s="17" t="str">
        <x:f>IF(O184=0,"Clean","Error Found")</x:f>
        <x:v>Clean</x:v>
      </x:c>
      <x:c r="Q184" s="18" t="str">
        <x:f>IF(P184="Clean","No action needed","Review raw record and update Validated_Data")</x:f>
        <x:v>No action needed</x:v>
      </x:c>
    </x:row>
    <x:row r="185">
      <x:c r="A185" s="15" t="str">
        <x:f>Raw_HR_Data!A183</x:f>
        <x:v>EMP24936</x:v>
      </x:c>
      <x:c r="B185" s="16" t="str">
        <x:f>Raw_HR_Data!B183</x:f>
        <x:v>Kiran Reddy</x:v>
      </x:c>
      <x:c r="C185" s="16" t="str">
        <x:f>Raw_HR_Data!C183</x:f>
        <x:v>Audit Support</x:v>
      </x:c>
      <x:c r="D185" s="17" t="str">
        <x:f>IF(COUNTIF(Raw_HR_Data!$A$2:$A$221,A185)&gt;1,"Duplicate","OK")</x:f>
        <x:v>OK</x:v>
      </x:c>
      <x:c r="E185" s="17" t="str">
        <x:f>IF(B185="","Missing Name","OK")</x:f>
        <x:v>OK</x:v>
      </x:c>
      <x:c r="F185" s="17" t="str">
        <x:f>IF(Raw_HR_Data!F183="","Missing Salary","OK")</x:f>
        <x:v>OK</x:v>
      </x:c>
      <x:c r="G185" s="17" t="str">
        <x:f>IF(AND(Raw_HR_Data!F183&lt;&gt;"",NOT(ISNUMBER(Raw_HR_Data!F183))),"Invalid Salary Type","OK")</x:f>
        <x:v>OK</x:v>
      </x:c>
      <x:c r="H185" s="17" t="str">
        <x:f>IF(Raw_HR_Data!I183&lt;0,"Invalid Deduction","OK")</x:f>
        <x:v>OK</x:v>
      </x:c>
      <x:c r="I185" s="17" t="str">
        <x:f>IF(OR(NOT(ISNUMBER(Raw_HR_Data!F183)),NOT(ISNUMBER(Raw_HR_Data!G183)),NOT(ISNUMBER(Raw_HR_Data!H183)),NOT(ISNUMBER(Raw_HR_Data!I183))),"Check Source Data",IF(Raw_HR_Data!J183=Raw_HR_Data!F183+Raw_HR_Data!G183+Raw_HR_Data!H183-Raw_HR_Data!I183,"OK","Net Pay Error"))</x:f>
        <x:v>OK</x:v>
      </x:c>
      <x:c r="J185" s="17" t="str">
        <x:f>IF(Raw_HR_Data!K183="","Missing Bank Status","OK")</x:f>
        <x:v>OK</x:v>
      </x:c>
      <x:c r="K185" s="17" t="str">
        <x:f>IF(Raw_HR_Data!L183="","Missing PAN","OK")</x:f>
        <x:v>OK</x:v>
      </x:c>
      <x:c r="L185" s="17" t="str">
        <x:f>IF(Raw_HR_Data!M183&gt;31,"Invalid Attendance","OK")</x:f>
        <x:v>OK</x:v>
      </x:c>
      <x:c r="M185" s="17" t="str">
        <x:f>IF(OR(Raw_HR_Data!N183&gt;10,Raw_HR_Data!N183&gt;Raw_HR_Data!M183),"Invalid Leave","OK")</x:f>
        <x:v>OK</x:v>
      </x:c>
      <x:c r="N185" s="17" t="str">
        <x:f>IF(OR(Raw_HR_Data!O183="Processed",Raw_HR_Data!O183="Pending",Raw_HR_Data!O183="Hold"),"OK","Invalid Payroll Status")</x:f>
        <x:v>OK</x:v>
      </x:c>
      <x:c r="O185" s="17">
        <x:f>COUNTIF(D185:N185,"&lt;&gt;OK")-COUNTIF(I185,"Check Source Data")+IF(I185="Check Source Data",1,0)</x:f>
        <x:v>0</x:v>
      </x:c>
      <x:c r="P185" s="17" t="str">
        <x:f>IF(O185=0,"Clean","Error Found")</x:f>
        <x:v>Clean</x:v>
      </x:c>
      <x:c r="Q185" s="18" t="str">
        <x:f>IF(P185="Clean","No action needed","Review raw record and update Validated_Data")</x:f>
        <x:v>No action needed</x:v>
      </x:c>
    </x:row>
    <x:row r="186">
      <x:c r="A186" s="15" t="str">
        <x:f>Raw_HR_Data!A184</x:f>
        <x:v>EMP87354</x:v>
      </x:c>
      <x:c r="B186" s="16" t="str">
        <x:f>Raw_HR_Data!B184</x:f>
        <x:v>Arjun Reddy</x:v>
      </x:c>
      <x:c r="C186" s="16" t="str">
        <x:f>Raw_HR_Data!C184</x:f>
        <x:v>Finance Ops</x:v>
      </x:c>
      <x:c r="D186" s="17" t="str">
        <x:f>IF(COUNTIF(Raw_HR_Data!$A$2:$A$221,A186)&gt;1,"Duplicate","OK")</x:f>
        <x:v>OK</x:v>
      </x:c>
      <x:c r="E186" s="17" t="str">
        <x:f>IF(B186="","Missing Name","OK")</x:f>
        <x:v>OK</x:v>
      </x:c>
      <x:c r="F186" s="17" t="str">
        <x:f>IF(Raw_HR_Data!F184="","Missing Salary","OK")</x:f>
        <x:v>OK</x:v>
      </x:c>
      <x:c r="G186" s="17" t="str">
        <x:f>IF(AND(Raw_HR_Data!F184&lt;&gt;"",NOT(ISNUMBER(Raw_HR_Data!F184))),"Invalid Salary Type","OK")</x:f>
        <x:v>OK</x:v>
      </x:c>
      <x:c r="H186" s="17" t="str">
        <x:f>IF(Raw_HR_Data!I184&lt;0,"Invalid Deduction","OK")</x:f>
        <x:v>OK</x:v>
      </x:c>
      <x:c r="I186" s="17" t="str">
        <x:f>IF(OR(NOT(ISNUMBER(Raw_HR_Data!F184)),NOT(ISNUMBER(Raw_HR_Data!G184)),NOT(ISNUMBER(Raw_HR_Data!H184)),NOT(ISNUMBER(Raw_HR_Data!I184))),"Check Source Data",IF(Raw_HR_Data!J184=Raw_HR_Data!F184+Raw_HR_Data!G184+Raw_HR_Data!H184-Raw_HR_Data!I184,"OK","Net Pay Error"))</x:f>
        <x:v>OK</x:v>
      </x:c>
      <x:c r="J186" s="17" t="str">
        <x:f>IF(Raw_HR_Data!K184="","Missing Bank Status","OK")</x:f>
        <x:v>OK</x:v>
      </x:c>
      <x:c r="K186" s="17" t="str">
        <x:f>IF(Raw_HR_Data!L184="","Missing PAN","OK")</x:f>
        <x:v>OK</x:v>
      </x:c>
      <x:c r="L186" s="17" t="str">
        <x:f>IF(Raw_HR_Data!M184&gt;31,"Invalid Attendance","OK")</x:f>
        <x:v>OK</x:v>
      </x:c>
      <x:c r="M186" s="17" t="str">
        <x:f>IF(OR(Raw_HR_Data!N184&gt;10,Raw_HR_Data!N184&gt;Raw_HR_Data!M184),"Invalid Leave","OK")</x:f>
        <x:v>OK</x:v>
      </x:c>
      <x:c r="N186" s="17" t="str">
        <x:f>IF(OR(Raw_HR_Data!O184="Processed",Raw_HR_Data!O184="Pending",Raw_HR_Data!O184="Hold"),"OK","Invalid Payroll Status")</x:f>
        <x:v>OK</x:v>
      </x:c>
      <x:c r="O186" s="17">
        <x:f>COUNTIF(D186:N186,"&lt;&gt;OK")-COUNTIF(I186,"Check Source Data")+IF(I186="Check Source Data",1,0)</x:f>
        <x:v>0</x:v>
      </x:c>
      <x:c r="P186" s="17" t="str">
        <x:f>IF(O186=0,"Clean","Error Found")</x:f>
        <x:v>Clean</x:v>
      </x:c>
      <x:c r="Q186" s="18" t="str">
        <x:f>IF(P186="Clean","No action needed","Review raw record and update Validated_Data")</x:f>
        <x:v>No action needed</x:v>
      </x:c>
    </x:row>
    <x:row r="187">
      <x:c r="A187" s="15" t="str">
        <x:f>Raw_HR_Data!A185</x:f>
        <x:v>EMP65448</x:v>
      </x:c>
      <x:c r="B187" s="16" t="str">
        <x:f>Raw_HR_Data!B185</x:f>
        <x:v>Fatima Miller</x:v>
      </x:c>
      <x:c r="C187" s="16" t="str">
        <x:f>Raw_HR_Data!C185</x:f>
        <x:v>Tax Support</x:v>
      </x:c>
      <x:c r="D187" s="17" t="str">
        <x:f>IF(COUNTIF(Raw_HR_Data!$A$2:$A$221,A187)&gt;1,"Duplicate","OK")</x:f>
        <x:v>OK</x:v>
      </x:c>
      <x:c r="E187" s="17" t="str">
        <x:f>IF(B187="","Missing Name","OK")</x:f>
        <x:v>OK</x:v>
      </x:c>
      <x:c r="F187" s="17" t="str">
        <x:f>IF(Raw_HR_Data!F185="","Missing Salary","OK")</x:f>
        <x:v>OK</x:v>
      </x:c>
      <x:c r="G187" s="17" t="str">
        <x:f>IF(AND(Raw_HR_Data!F185&lt;&gt;"",NOT(ISNUMBER(Raw_HR_Data!F185))),"Invalid Salary Type","OK")</x:f>
        <x:v>OK</x:v>
      </x:c>
      <x:c r="H187" s="17" t="str">
        <x:f>IF(Raw_HR_Data!I185&lt;0,"Invalid Deduction","OK")</x:f>
        <x:v>OK</x:v>
      </x:c>
      <x:c r="I187" s="17" t="str">
        <x:f>IF(OR(NOT(ISNUMBER(Raw_HR_Data!F185)),NOT(ISNUMBER(Raw_HR_Data!G185)),NOT(ISNUMBER(Raw_HR_Data!H185)),NOT(ISNUMBER(Raw_HR_Data!I185))),"Check Source Data",IF(Raw_HR_Data!J185=Raw_HR_Data!F185+Raw_HR_Data!G185+Raw_HR_Data!H185-Raw_HR_Data!I185,"OK","Net Pay Error"))</x:f>
        <x:v>OK</x:v>
      </x:c>
      <x:c r="J187" s="17" t="str">
        <x:f>IF(Raw_HR_Data!K185="","Missing Bank Status","OK")</x:f>
        <x:v>OK</x:v>
      </x:c>
      <x:c r="K187" s="17" t="str">
        <x:f>IF(Raw_HR_Data!L185="","Missing PAN","OK")</x:f>
        <x:v>OK</x:v>
      </x:c>
      <x:c r="L187" s="17" t="str">
        <x:f>IF(Raw_HR_Data!M185&gt;31,"Invalid Attendance","OK")</x:f>
        <x:v>OK</x:v>
      </x:c>
      <x:c r="M187" s="17" t="str">
        <x:f>IF(OR(Raw_HR_Data!N185&gt;10,Raw_HR_Data!N185&gt;Raw_HR_Data!M185),"Invalid Leave","OK")</x:f>
        <x:v>OK</x:v>
      </x:c>
      <x:c r="N187" s="17" t="str">
        <x:f>IF(OR(Raw_HR_Data!O185="Processed",Raw_HR_Data!O185="Pending",Raw_HR_Data!O185="Hold"),"OK","Invalid Payroll Status")</x:f>
        <x:v>OK</x:v>
      </x:c>
      <x:c r="O187" s="17">
        <x:f>COUNTIF(D187:N187,"&lt;&gt;OK")-COUNTIF(I187,"Check Source Data")+IF(I187="Check Source Data",1,0)</x:f>
        <x:v>0</x:v>
      </x:c>
      <x:c r="P187" s="17" t="str">
        <x:f>IF(O187=0,"Clean","Error Found")</x:f>
        <x:v>Clean</x:v>
      </x:c>
      <x:c r="Q187" s="18" t="str">
        <x:f>IF(P187="Clean","No action needed","Review raw record and update Validated_Data")</x:f>
        <x:v>No action needed</x:v>
      </x:c>
    </x:row>
    <x:row r="188">
      <x:c r="A188" s="15" t="str">
        <x:f>Raw_HR_Data!A186</x:f>
        <x:v>EMP73518</x:v>
      </x:c>
      <x:c r="B188" s="16" t="str">
        <x:f>Raw_HR_Data!B186</x:f>
        <x:v>Divya Harris</x:v>
      </x:c>
      <x:c r="C188" s="16" t="str">
        <x:f>Raw_HR_Data!C186</x:f>
        <x:v>Risk Advisory</x:v>
      </x:c>
      <x:c r="D188" s="17" t="str">
        <x:f>IF(COUNTIF(Raw_HR_Data!$A$2:$A$221,A188)&gt;1,"Duplicate","OK")</x:f>
        <x:v>OK</x:v>
      </x:c>
      <x:c r="E188" s="17" t="str">
        <x:f>IF(B188="","Missing Name","OK")</x:f>
        <x:v>OK</x:v>
      </x:c>
      <x:c r="F188" s="17" t="str">
        <x:f>IF(Raw_HR_Data!F186="","Missing Salary","OK")</x:f>
        <x:v>OK</x:v>
      </x:c>
      <x:c r="G188" s="17" t="str">
        <x:f>IF(AND(Raw_HR_Data!F186&lt;&gt;"",NOT(ISNUMBER(Raw_HR_Data!F186))),"Invalid Salary Type","OK")</x:f>
        <x:v>OK</x:v>
      </x:c>
      <x:c r="H188" s="17" t="str">
        <x:f>IF(Raw_HR_Data!I186&lt;0,"Invalid Deduction","OK")</x:f>
        <x:v>OK</x:v>
      </x:c>
      <x:c r="I188" s="17" t="str">
        <x:f>IF(OR(NOT(ISNUMBER(Raw_HR_Data!F186)),NOT(ISNUMBER(Raw_HR_Data!G186)),NOT(ISNUMBER(Raw_HR_Data!H186)),NOT(ISNUMBER(Raw_HR_Data!I186))),"Check Source Data",IF(Raw_HR_Data!J186=Raw_HR_Data!F186+Raw_HR_Data!G186+Raw_HR_Data!H186-Raw_HR_Data!I186,"OK","Net Pay Error"))</x:f>
        <x:v>OK</x:v>
      </x:c>
      <x:c r="J188" s="17" t="str">
        <x:f>IF(Raw_HR_Data!K186="","Missing Bank Status","OK")</x:f>
        <x:v>OK</x:v>
      </x:c>
      <x:c r="K188" s="17" t="str">
        <x:f>IF(Raw_HR_Data!L186="","Missing PAN","OK")</x:f>
        <x:v>OK</x:v>
      </x:c>
      <x:c r="L188" s="17" t="str">
        <x:f>IF(Raw_HR_Data!M186&gt;31,"Invalid Attendance","OK")</x:f>
        <x:v>OK</x:v>
      </x:c>
      <x:c r="M188" s="17" t="str">
        <x:f>IF(OR(Raw_HR_Data!N186&gt;10,Raw_HR_Data!N186&gt;Raw_HR_Data!M186),"Invalid Leave","OK")</x:f>
        <x:v>OK</x:v>
      </x:c>
      <x:c r="N188" s="17" t="str">
        <x:f>IF(OR(Raw_HR_Data!O186="Processed",Raw_HR_Data!O186="Pending",Raw_HR_Data!O186="Hold"),"OK","Invalid Payroll Status")</x:f>
        <x:v>OK</x:v>
      </x:c>
      <x:c r="O188" s="17">
        <x:f>COUNTIF(D188:N188,"&lt;&gt;OK")-COUNTIF(I188,"Check Source Data")+IF(I188="Check Source Data",1,0)</x:f>
        <x:v>0</x:v>
      </x:c>
      <x:c r="P188" s="17" t="str">
        <x:f>IF(O188=0,"Clean","Error Found")</x:f>
        <x:v>Clean</x:v>
      </x:c>
      <x:c r="Q188" s="18" t="str">
        <x:f>IF(P188="Clean","No action needed","Review raw record and update Validated_Data")</x:f>
        <x:v>No action needed</x:v>
      </x:c>
    </x:row>
    <x:row r="189">
      <x:c r="A189" s="15" t="str">
        <x:f>Raw_HR_Data!A187</x:f>
        <x:v>EMP38905</x:v>
      </x:c>
      <x:c r="B189" s="16" t="str">
        <x:f>Raw_HR_Data!B187</x:f>
        <x:v>Lucas Bose</x:v>
      </x:c>
      <x:c r="C189" s="16" t="str">
        <x:f>Raw_HR_Data!C187</x:f>
        <x:v>Talent Ops</x:v>
      </x:c>
      <x:c r="D189" s="17" t="str">
        <x:f>IF(COUNTIF(Raw_HR_Data!$A$2:$A$221,A189)&gt;1,"Duplicate","OK")</x:f>
        <x:v>OK</x:v>
      </x:c>
      <x:c r="E189" s="17" t="str">
        <x:f>IF(B189="","Missing Name","OK")</x:f>
        <x:v>OK</x:v>
      </x:c>
      <x:c r="F189" s="17" t="str">
        <x:f>IF(Raw_HR_Data!F187="","Missing Salary","OK")</x:f>
        <x:v>OK</x:v>
      </x:c>
      <x:c r="G189" s="17" t="str">
        <x:f>IF(AND(Raw_HR_Data!F187&lt;&gt;"",NOT(ISNUMBER(Raw_HR_Data!F187))),"Invalid Salary Type","OK")</x:f>
        <x:v>OK</x:v>
      </x:c>
      <x:c r="H189" s="17" t="str">
        <x:f>IF(Raw_HR_Data!I187&lt;0,"Invalid Deduction","OK")</x:f>
        <x:v>OK</x:v>
      </x:c>
      <x:c r="I189" s="17" t="str">
        <x:f>IF(OR(NOT(ISNUMBER(Raw_HR_Data!F187)),NOT(ISNUMBER(Raw_HR_Data!G187)),NOT(ISNUMBER(Raw_HR_Data!H187)),NOT(ISNUMBER(Raw_HR_Data!I187))),"Check Source Data",IF(Raw_HR_Data!J187=Raw_HR_Data!F187+Raw_HR_Data!G187+Raw_HR_Data!H187-Raw_HR_Data!I187,"OK","Net Pay Error"))</x:f>
        <x:v>OK</x:v>
      </x:c>
      <x:c r="J189" s="17" t="str">
        <x:f>IF(Raw_HR_Data!K187="","Missing Bank Status","OK")</x:f>
        <x:v>OK</x:v>
      </x:c>
      <x:c r="K189" s="17" t="str">
        <x:f>IF(Raw_HR_Data!L187="","Missing PAN","OK")</x:f>
        <x:v>OK</x:v>
      </x:c>
      <x:c r="L189" s="17" t="str">
        <x:f>IF(Raw_HR_Data!M187&gt;31,"Invalid Attendance","OK")</x:f>
        <x:v>OK</x:v>
      </x:c>
      <x:c r="M189" s="17" t="str">
        <x:f>IF(OR(Raw_HR_Data!N187&gt;10,Raw_HR_Data!N187&gt;Raw_HR_Data!M187),"Invalid Leave","OK")</x:f>
        <x:v>OK</x:v>
      </x:c>
      <x:c r="N189" s="17" t="str">
        <x:f>IF(OR(Raw_HR_Data!O187="Processed",Raw_HR_Data!O187="Pending",Raw_HR_Data!O187="Hold"),"OK","Invalid Payroll Status")</x:f>
        <x:v>OK</x:v>
      </x:c>
      <x:c r="O189" s="17">
        <x:f>COUNTIF(D189:N189,"&lt;&gt;OK")-COUNTIF(I189,"Check Source Data")+IF(I189="Check Source Data",1,0)</x:f>
        <x:v>0</x:v>
      </x:c>
      <x:c r="P189" s="17" t="str">
        <x:f>IF(O189=0,"Clean","Error Found")</x:f>
        <x:v>Clean</x:v>
      </x:c>
      <x:c r="Q189" s="18" t="str">
        <x:f>IF(P189="Clean","No action needed","Review raw record and update Validated_Data")</x:f>
        <x:v>No action needed</x:v>
      </x:c>
    </x:row>
    <x:row r="190">
      <x:c r="A190" s="15" t="str">
        <x:f>Raw_HR_Data!A188</x:f>
        <x:v>EMP81186</x:v>
      </x:c>
      <x:c r="B190" s="16" t="str">
        <x:f>Raw_HR_Data!B188</x:f>
        <x:v>Pooja Nair</x:v>
      </x:c>
      <x:c r="C190" s="16" t="str">
        <x:f>Raw_HR_Data!C188</x:f>
        <x:v>Payroll Ops</x:v>
      </x:c>
      <x:c r="D190" s="17" t="str">
        <x:f>IF(COUNTIF(Raw_HR_Data!$A$2:$A$221,A190)&gt;1,"Duplicate","OK")</x:f>
        <x:v>OK</x:v>
      </x:c>
      <x:c r="E190" s="17" t="str">
        <x:f>IF(B190="","Missing Name","OK")</x:f>
        <x:v>OK</x:v>
      </x:c>
      <x:c r="F190" s="17" t="str">
        <x:f>IF(Raw_HR_Data!F188="","Missing Salary","OK")</x:f>
        <x:v>OK</x:v>
      </x:c>
      <x:c r="G190" s="17" t="str">
        <x:f>IF(AND(Raw_HR_Data!F188&lt;&gt;"",NOT(ISNUMBER(Raw_HR_Data!F188))),"Invalid Salary Type","OK")</x:f>
        <x:v>OK</x:v>
      </x:c>
      <x:c r="H190" s="17" t="str">
        <x:f>IF(Raw_HR_Data!I188&lt;0,"Invalid Deduction","OK")</x:f>
        <x:v>OK</x:v>
      </x:c>
      <x:c r="I190" s="17" t="str">
        <x:f>IF(OR(NOT(ISNUMBER(Raw_HR_Data!F188)),NOT(ISNUMBER(Raw_HR_Data!G188)),NOT(ISNUMBER(Raw_HR_Data!H188)),NOT(ISNUMBER(Raw_HR_Data!I188))),"Check Source Data",IF(Raw_HR_Data!J188=Raw_HR_Data!F188+Raw_HR_Data!G188+Raw_HR_Data!H188-Raw_HR_Data!I188,"OK","Net Pay Error"))</x:f>
        <x:v>OK</x:v>
      </x:c>
      <x:c r="J190" s="17" t="str">
        <x:f>IF(Raw_HR_Data!K188="","Missing Bank Status","OK")</x:f>
        <x:v>OK</x:v>
      </x:c>
      <x:c r="K190" s="17" t="str">
        <x:f>IF(Raw_HR_Data!L188="","Missing PAN","OK")</x:f>
        <x:v>OK</x:v>
      </x:c>
      <x:c r="L190" s="17" t="str">
        <x:f>IF(Raw_HR_Data!M188&gt;31,"Invalid Attendance","OK")</x:f>
        <x:v>OK</x:v>
      </x:c>
      <x:c r="M190" s="17" t="str">
        <x:f>IF(OR(Raw_HR_Data!N188&gt;10,Raw_HR_Data!N188&gt;Raw_HR_Data!M188),"Invalid Leave","OK")</x:f>
        <x:v>OK</x:v>
      </x:c>
      <x:c r="N190" s="17" t="str">
        <x:f>IF(OR(Raw_HR_Data!O188="Processed",Raw_HR_Data!O188="Pending",Raw_HR_Data!O188="Hold"),"OK","Invalid Payroll Status")</x:f>
        <x:v>OK</x:v>
      </x:c>
      <x:c r="O190" s="17">
        <x:f>COUNTIF(D190:N190,"&lt;&gt;OK")-COUNTIF(I190,"Check Source Data")+IF(I190="Check Source Data",1,0)</x:f>
        <x:v>0</x:v>
      </x:c>
      <x:c r="P190" s="17" t="str">
        <x:f>IF(O190=0,"Clean","Error Found")</x:f>
        <x:v>Clean</x:v>
      </x:c>
      <x:c r="Q190" s="18" t="str">
        <x:f>IF(P190="Clean","No action needed","Review raw record and update Validated_Data")</x:f>
        <x:v>No action needed</x:v>
      </x:c>
    </x:row>
    <x:row r="191">
      <x:c r="A191" s="15" t="str">
        <x:f>Raw_HR_Data!A189</x:f>
        <x:v>EMP21401</x:v>
      </x:c>
      <x:c r="B191" s="16" t="str">
        <x:f>Raw_HR_Data!B189</x:f>
        <x:v>Sophie Thompson</x:v>
      </x:c>
      <x:c r="C191" s="16" t="str">
        <x:f>Raw_HR_Data!C189</x:f>
        <x:v>HR Shared Services</x:v>
      </x:c>
      <x:c r="D191" s="17" t="str">
        <x:f>IF(COUNTIF(Raw_HR_Data!$A$2:$A$221,A191)&gt;1,"Duplicate","OK")</x:f>
        <x:v>OK</x:v>
      </x:c>
      <x:c r="E191" s="17" t="str">
        <x:f>IF(B191="","Missing Name","OK")</x:f>
        <x:v>OK</x:v>
      </x:c>
      <x:c r="F191" s="17" t="str">
        <x:f>IF(Raw_HR_Data!F189="","Missing Salary","OK")</x:f>
        <x:v>OK</x:v>
      </x:c>
      <x:c r="G191" s="17" t="str">
        <x:f>IF(AND(Raw_HR_Data!F189&lt;&gt;"",NOT(ISNUMBER(Raw_HR_Data!F189))),"Invalid Salary Type","OK")</x:f>
        <x:v>OK</x:v>
      </x:c>
      <x:c r="H191" s="17" t="str">
        <x:f>IF(Raw_HR_Data!I189&lt;0,"Invalid Deduction","OK")</x:f>
        <x:v>OK</x:v>
      </x:c>
      <x:c r="I191" s="17" t="str">
        <x:f>IF(OR(NOT(ISNUMBER(Raw_HR_Data!F189)),NOT(ISNUMBER(Raw_HR_Data!G189)),NOT(ISNUMBER(Raw_HR_Data!H189)),NOT(ISNUMBER(Raw_HR_Data!I189))),"Check Source Data",IF(Raw_HR_Data!J189=Raw_HR_Data!F189+Raw_HR_Data!G189+Raw_HR_Data!H189-Raw_HR_Data!I189,"OK","Net Pay Error"))</x:f>
        <x:v>OK</x:v>
      </x:c>
      <x:c r="J191" s="17" t="str">
        <x:f>IF(Raw_HR_Data!K189="","Missing Bank Status","OK")</x:f>
        <x:v>OK</x:v>
      </x:c>
      <x:c r="K191" s="17" t="str">
        <x:f>IF(Raw_HR_Data!L189="","Missing PAN","OK")</x:f>
        <x:v>OK</x:v>
      </x:c>
      <x:c r="L191" s="17" t="str">
        <x:f>IF(Raw_HR_Data!M189&gt;31,"Invalid Attendance","OK")</x:f>
        <x:v>OK</x:v>
      </x:c>
      <x:c r="M191" s="17" t="str">
        <x:f>IF(OR(Raw_HR_Data!N189&gt;10,Raw_HR_Data!N189&gt;Raw_HR_Data!M189),"Invalid Leave","OK")</x:f>
        <x:v>OK</x:v>
      </x:c>
      <x:c r="N191" s="17" t="str">
        <x:f>IF(OR(Raw_HR_Data!O189="Processed",Raw_HR_Data!O189="Pending",Raw_HR_Data!O189="Hold"),"OK","Invalid Payroll Status")</x:f>
        <x:v>OK</x:v>
      </x:c>
      <x:c r="O191" s="17">
        <x:f>COUNTIF(D191:N191,"&lt;&gt;OK")-COUNTIF(I191,"Check Source Data")+IF(I191="Check Source Data",1,0)</x:f>
        <x:v>0</x:v>
      </x:c>
      <x:c r="P191" s="17" t="str">
        <x:f>IF(O191=0,"Clean","Error Found")</x:f>
        <x:v>Clean</x:v>
      </x:c>
      <x:c r="Q191" s="18" t="str">
        <x:f>IF(P191="Clean","No action needed","Review raw record and update Validated_Data")</x:f>
        <x:v>No action needed</x:v>
      </x:c>
    </x:row>
    <x:row r="192">
      <x:c r="A192" s="15" t="str">
        <x:f>Raw_HR_Data!A190</x:f>
        <x:v>EMP17780</x:v>
      </x:c>
      <x:c r="B192" s="16" t="str">
        <x:f>Raw_HR_Data!B190</x:f>
        <x:v>Oliver Nair</x:v>
      </x:c>
      <x:c r="C192" s="16" t="str">
        <x:f>Raw_HR_Data!C190</x:f>
        <x:v>Talent Ops</x:v>
      </x:c>
      <x:c r="D192" s="17" t="str">
        <x:f>IF(COUNTIF(Raw_HR_Data!$A$2:$A$221,A192)&gt;1,"Duplicate","OK")</x:f>
        <x:v>OK</x:v>
      </x:c>
      <x:c r="E192" s="17" t="str">
        <x:f>IF(B192="","Missing Name","OK")</x:f>
        <x:v>OK</x:v>
      </x:c>
      <x:c r="F192" s="17" t="str">
        <x:f>IF(Raw_HR_Data!F190="","Missing Salary","OK")</x:f>
        <x:v>OK</x:v>
      </x:c>
      <x:c r="G192" s="17" t="str">
        <x:f>IF(AND(Raw_HR_Data!F190&lt;&gt;"",NOT(ISNUMBER(Raw_HR_Data!F190))),"Invalid Salary Type","OK")</x:f>
        <x:v>OK</x:v>
      </x:c>
      <x:c r="H192" s="17" t="str">
        <x:f>IF(Raw_HR_Data!I190&lt;0,"Invalid Deduction","OK")</x:f>
        <x:v>OK</x:v>
      </x:c>
      <x:c r="I192" s="17" t="str">
        <x:f>IF(OR(NOT(ISNUMBER(Raw_HR_Data!F190)),NOT(ISNUMBER(Raw_HR_Data!G190)),NOT(ISNUMBER(Raw_HR_Data!H190)),NOT(ISNUMBER(Raw_HR_Data!I190))),"Check Source Data",IF(Raw_HR_Data!J190=Raw_HR_Data!F190+Raw_HR_Data!G190+Raw_HR_Data!H190-Raw_HR_Data!I190,"OK","Net Pay Error"))</x:f>
        <x:v>OK</x:v>
      </x:c>
      <x:c r="J192" s="17" t="str">
        <x:f>IF(Raw_HR_Data!K190="","Missing Bank Status","OK")</x:f>
        <x:v>OK</x:v>
      </x:c>
      <x:c r="K192" s="17" t="str">
        <x:f>IF(Raw_HR_Data!L190="","Missing PAN","OK")</x:f>
        <x:v>OK</x:v>
      </x:c>
      <x:c r="L192" s="17" t="str">
        <x:f>IF(Raw_HR_Data!M190&gt;31,"Invalid Attendance","OK")</x:f>
        <x:v>OK</x:v>
      </x:c>
      <x:c r="M192" s="17" t="str">
        <x:f>IF(OR(Raw_HR_Data!N190&gt;10,Raw_HR_Data!N190&gt;Raw_HR_Data!M190),"Invalid Leave","OK")</x:f>
        <x:v>OK</x:v>
      </x:c>
      <x:c r="N192" s="17" t="str">
        <x:f>IF(OR(Raw_HR_Data!O190="Processed",Raw_HR_Data!O190="Pending",Raw_HR_Data!O190="Hold"),"OK","Invalid Payroll Status")</x:f>
        <x:v>OK</x:v>
      </x:c>
      <x:c r="O192" s="17">
        <x:f>COUNTIF(D192:N192,"&lt;&gt;OK")-COUNTIF(I192,"Check Source Data")+IF(I192="Check Source Data",1,0)</x:f>
        <x:v>0</x:v>
      </x:c>
      <x:c r="P192" s="17" t="str">
        <x:f>IF(O192=0,"Clean","Error Found")</x:f>
        <x:v>Clean</x:v>
      </x:c>
      <x:c r="Q192" s="18" t="str">
        <x:f>IF(P192="Clean","No action needed","Review raw record and update Validated_Data")</x:f>
        <x:v>No action needed</x:v>
      </x:c>
    </x:row>
    <x:row r="193">
      <x:c r="A193" s="15" t="str">
        <x:f>Raw_HR_Data!A191</x:f>
        <x:v>EMP46349</x:v>
      </x:c>
      <x:c r="B193" s="16" t="str">
        <x:f>Raw_HR_Data!B191</x:f>
        <x:v>Divya Shah</x:v>
      </x:c>
      <x:c r="C193" s="16" t="str">
        <x:f>Raw_HR_Data!C191</x:f>
        <x:v>Finance Ops</x:v>
      </x:c>
      <x:c r="D193" s="17" t="str">
        <x:f>IF(COUNTIF(Raw_HR_Data!$A$2:$A$221,A193)&gt;1,"Duplicate","OK")</x:f>
        <x:v>OK</x:v>
      </x:c>
      <x:c r="E193" s="17" t="str">
        <x:f>IF(B193="","Missing Name","OK")</x:f>
        <x:v>OK</x:v>
      </x:c>
      <x:c r="F193" s="17" t="str">
        <x:f>IF(Raw_HR_Data!F191="","Missing Salary","OK")</x:f>
        <x:v>OK</x:v>
      </x:c>
      <x:c r="G193" s="17" t="str">
        <x:f>IF(AND(Raw_HR_Data!F191&lt;&gt;"",NOT(ISNUMBER(Raw_HR_Data!F191))),"Invalid Salary Type","OK")</x:f>
        <x:v>Invalid Salary Type</x:v>
      </x:c>
      <x:c r="H193" s="17" t="str">
        <x:f>IF(Raw_HR_Data!I191&lt;0,"Invalid Deduction","OK")</x:f>
        <x:v>OK</x:v>
      </x:c>
      <x:c r="I193" s="17" t="str">
        <x:f>IF(OR(NOT(ISNUMBER(Raw_HR_Data!F191)),NOT(ISNUMBER(Raw_HR_Data!G191)),NOT(ISNUMBER(Raw_HR_Data!H191)),NOT(ISNUMBER(Raw_HR_Data!I191))),"Check Source Data",IF(Raw_HR_Data!J191=Raw_HR_Data!F191+Raw_HR_Data!G191+Raw_HR_Data!H191-Raw_HR_Data!I191,"OK","Net Pay Error"))</x:f>
        <x:v>Check Source Data</x:v>
      </x:c>
      <x:c r="J193" s="17" t="str">
        <x:f>IF(Raw_HR_Data!K191="","Missing Bank Status","OK")</x:f>
        <x:v>OK</x:v>
      </x:c>
      <x:c r="K193" s="17" t="str">
        <x:f>IF(Raw_HR_Data!L191="","Missing PAN","OK")</x:f>
        <x:v>OK</x:v>
      </x:c>
      <x:c r="L193" s="17" t="str">
        <x:f>IF(Raw_HR_Data!M191&gt;31,"Invalid Attendance","OK")</x:f>
        <x:v>OK</x:v>
      </x:c>
      <x:c r="M193" s="17" t="str">
        <x:f>IF(OR(Raw_HR_Data!N191&gt;10,Raw_HR_Data!N191&gt;Raw_HR_Data!M191),"Invalid Leave","OK")</x:f>
        <x:v>OK</x:v>
      </x:c>
      <x:c r="N193" s="17" t="str">
        <x:f>IF(OR(Raw_HR_Data!O191="Processed",Raw_HR_Data!O191="Pending",Raw_HR_Data!O191="Hold"),"OK","Invalid Payroll Status")</x:f>
        <x:v>OK</x:v>
      </x:c>
      <x:c r="O193" s="17">
        <x:f>COUNTIF(D193:N193,"&lt;&gt;OK")-COUNTIF(I193,"Check Source Data")+IF(I193="Check Source Data",1,0)</x:f>
        <x:v>2</x:v>
      </x:c>
      <x:c r="P193" s="17" t="str">
        <x:f>IF(O193=0,"Clean","Error Found")</x:f>
        <x:v>Error Found</x:v>
      </x:c>
      <x:c r="Q193" s="18" t="str">
        <x:f>IF(P193="Clean","No action needed","Review raw record and update Validated_Data")</x:f>
        <x:v>Review raw record and update Validated_Data</x:v>
      </x:c>
    </x:row>
    <x:row r="194">
      <x:c r="A194" s="15" t="str">
        <x:f>Raw_HR_Data!A192</x:f>
        <x:v>EMP19898</x:v>
      </x:c>
      <x:c r="B194" s="16" t="str">
        <x:f>Raw_HR_Data!B192</x:f>
        <x:v>Arjun Lee</x:v>
      </x:c>
      <x:c r="C194" s="16" t="str">
        <x:f>Raw_HR_Data!C192</x:f>
        <x:v>Tax Support</x:v>
      </x:c>
      <x:c r="D194" s="17" t="str">
        <x:f>IF(COUNTIF(Raw_HR_Data!$A$2:$A$221,A194)&gt;1,"Duplicate","OK")</x:f>
        <x:v>OK</x:v>
      </x:c>
      <x:c r="E194" s="17" t="str">
        <x:f>IF(B194="","Missing Name","OK")</x:f>
        <x:v>OK</x:v>
      </x:c>
      <x:c r="F194" s="17" t="str">
        <x:f>IF(Raw_HR_Data!F192="","Missing Salary","OK")</x:f>
        <x:v>OK</x:v>
      </x:c>
      <x:c r="G194" s="17" t="str">
        <x:f>IF(AND(Raw_HR_Data!F192&lt;&gt;"",NOT(ISNUMBER(Raw_HR_Data!F192))),"Invalid Salary Type","OK")</x:f>
        <x:v>OK</x:v>
      </x:c>
      <x:c r="H194" s="17" t="str">
        <x:f>IF(Raw_HR_Data!I192&lt;0,"Invalid Deduction","OK")</x:f>
        <x:v>OK</x:v>
      </x:c>
      <x:c r="I194" s="17" t="str">
        <x:f>IF(OR(NOT(ISNUMBER(Raw_HR_Data!F192)),NOT(ISNUMBER(Raw_HR_Data!G192)),NOT(ISNUMBER(Raw_HR_Data!H192)),NOT(ISNUMBER(Raw_HR_Data!I192))),"Check Source Data",IF(Raw_HR_Data!J192=Raw_HR_Data!F192+Raw_HR_Data!G192+Raw_HR_Data!H192-Raw_HR_Data!I192,"OK","Net Pay Error"))</x:f>
        <x:v>OK</x:v>
      </x:c>
      <x:c r="J194" s="17" t="str">
        <x:f>IF(Raw_HR_Data!K192="","Missing Bank Status","OK")</x:f>
        <x:v>OK</x:v>
      </x:c>
      <x:c r="K194" s="17" t="str">
        <x:f>IF(Raw_HR_Data!L192="","Missing PAN","OK")</x:f>
        <x:v>OK</x:v>
      </x:c>
      <x:c r="L194" s="17" t="str">
        <x:f>IF(Raw_HR_Data!M192&gt;31,"Invalid Attendance","OK")</x:f>
        <x:v>OK</x:v>
      </x:c>
      <x:c r="M194" s="17" t="str">
        <x:f>IF(OR(Raw_HR_Data!N192&gt;10,Raw_HR_Data!N192&gt;Raw_HR_Data!M192),"Invalid Leave","OK")</x:f>
        <x:v>OK</x:v>
      </x:c>
      <x:c r="N194" s="17" t="str">
        <x:f>IF(OR(Raw_HR_Data!O192="Processed",Raw_HR_Data!O192="Pending",Raw_HR_Data!O192="Hold"),"OK","Invalid Payroll Status")</x:f>
        <x:v>OK</x:v>
      </x:c>
      <x:c r="O194" s="17">
        <x:f>COUNTIF(D194:N194,"&lt;&gt;OK")-COUNTIF(I194,"Check Source Data")+IF(I194="Check Source Data",1,0)</x:f>
        <x:v>0</x:v>
      </x:c>
      <x:c r="P194" s="17" t="str">
        <x:f>IF(O194=0,"Clean","Error Found")</x:f>
        <x:v>Clean</x:v>
      </x:c>
      <x:c r="Q194" s="18" t="str">
        <x:f>IF(P194="Clean","No action needed","Review raw record and update Validated_Data")</x:f>
        <x:v>No action needed</x:v>
      </x:c>
    </x:row>
    <x:row r="195">
      <x:c r="A195" s="15" t="str">
        <x:f>Raw_HR_Data!A193</x:f>
        <x:v>EMP56952</x:v>
      </x:c>
      <x:c r="B195" s="16" t="str">
        <x:f>Raw_HR_Data!B193</x:f>
        <x:v>Ananya Taylor</x:v>
      </x:c>
      <x:c r="C195" s="16" t="str">
        <x:f>Raw_HR_Data!C193</x:f>
        <x:v>Tax Support</x:v>
      </x:c>
      <x:c r="D195" s="17" t="str">
        <x:f>IF(COUNTIF(Raw_HR_Data!$A$2:$A$221,A195)&gt;1,"Duplicate","OK")</x:f>
        <x:v>OK</x:v>
      </x:c>
      <x:c r="E195" s="17" t="str">
        <x:f>IF(B195="","Missing Name","OK")</x:f>
        <x:v>OK</x:v>
      </x:c>
      <x:c r="F195" s="17" t="str">
        <x:f>IF(Raw_HR_Data!F193="","Missing Salary","OK")</x:f>
        <x:v>OK</x:v>
      </x:c>
      <x:c r="G195" s="17" t="str">
        <x:f>IF(AND(Raw_HR_Data!F193&lt;&gt;"",NOT(ISNUMBER(Raw_HR_Data!F193))),"Invalid Salary Type","OK")</x:f>
        <x:v>OK</x:v>
      </x:c>
      <x:c r="H195" s="17" t="str">
        <x:f>IF(Raw_HR_Data!I193&lt;0,"Invalid Deduction","OK")</x:f>
        <x:v>OK</x:v>
      </x:c>
      <x:c r="I195" s="17" t="str">
        <x:f>IF(OR(NOT(ISNUMBER(Raw_HR_Data!F193)),NOT(ISNUMBER(Raw_HR_Data!G193)),NOT(ISNUMBER(Raw_HR_Data!H193)),NOT(ISNUMBER(Raw_HR_Data!I193))),"Check Source Data",IF(Raw_HR_Data!J193=Raw_HR_Data!F193+Raw_HR_Data!G193+Raw_HR_Data!H193-Raw_HR_Data!I193,"OK","Net Pay Error"))</x:f>
        <x:v>OK</x:v>
      </x:c>
      <x:c r="J195" s="17" t="str">
        <x:f>IF(Raw_HR_Data!K193="","Missing Bank Status","OK")</x:f>
        <x:v>OK</x:v>
      </x:c>
      <x:c r="K195" s="17" t="str">
        <x:f>IF(Raw_HR_Data!L193="","Missing PAN","OK")</x:f>
        <x:v>OK</x:v>
      </x:c>
      <x:c r="L195" s="17" t="str">
        <x:f>IF(Raw_HR_Data!M193&gt;31,"Invalid Attendance","OK")</x:f>
        <x:v>OK</x:v>
      </x:c>
      <x:c r="M195" s="17" t="str">
        <x:f>IF(OR(Raw_HR_Data!N193&gt;10,Raw_HR_Data!N193&gt;Raw_HR_Data!M193),"Invalid Leave","OK")</x:f>
        <x:v>OK</x:v>
      </x:c>
      <x:c r="N195" s="17" t="str">
        <x:f>IF(OR(Raw_HR_Data!O193="Processed",Raw_HR_Data!O193="Pending",Raw_HR_Data!O193="Hold"),"OK","Invalid Payroll Status")</x:f>
        <x:v>OK</x:v>
      </x:c>
      <x:c r="O195" s="17">
        <x:f>COUNTIF(D195:N195,"&lt;&gt;OK")-COUNTIF(I195,"Check Source Data")+IF(I195="Check Source Data",1,0)</x:f>
        <x:v>0</x:v>
      </x:c>
      <x:c r="P195" s="17" t="str">
        <x:f>IF(O195=0,"Clean","Error Found")</x:f>
        <x:v>Clean</x:v>
      </x:c>
      <x:c r="Q195" s="18" t="str">
        <x:f>IF(P195="Clean","No action needed","Review raw record and update Validated_Data")</x:f>
        <x:v>No action needed</x:v>
      </x:c>
    </x:row>
    <x:row r="196">
      <x:c r="A196" s="15" t="str">
        <x:f>Raw_HR_Data!A194</x:f>
        <x:v>EMP73614</x:v>
      </x:c>
      <x:c r="B196" s="16" t="str">
        <x:f>Raw_HR_Data!B194</x:f>
        <x:v>Noah Verma</x:v>
      </x:c>
      <x:c r="C196" s="16" t="str">
        <x:f>Raw_HR_Data!C194</x:f>
        <x:v>Payroll Ops</x:v>
      </x:c>
      <x:c r="D196" s="17" t="str">
        <x:f>IF(COUNTIF(Raw_HR_Data!$A$2:$A$221,A196)&gt;1,"Duplicate","OK")</x:f>
        <x:v>OK</x:v>
      </x:c>
      <x:c r="E196" s="17" t="str">
        <x:f>IF(B196="","Missing Name","OK")</x:f>
        <x:v>OK</x:v>
      </x:c>
      <x:c r="F196" s="17" t="str">
        <x:f>IF(Raw_HR_Data!F194="","Missing Salary","OK")</x:f>
        <x:v>OK</x:v>
      </x:c>
      <x:c r="G196" s="17" t="str">
        <x:f>IF(AND(Raw_HR_Data!F194&lt;&gt;"",NOT(ISNUMBER(Raw_HR_Data!F194))),"Invalid Salary Type","OK")</x:f>
        <x:v>OK</x:v>
      </x:c>
      <x:c r="H196" s="17" t="str">
        <x:f>IF(Raw_HR_Data!I194&lt;0,"Invalid Deduction","OK")</x:f>
        <x:v>OK</x:v>
      </x:c>
      <x:c r="I196" s="17" t="str">
        <x:f>IF(OR(NOT(ISNUMBER(Raw_HR_Data!F194)),NOT(ISNUMBER(Raw_HR_Data!G194)),NOT(ISNUMBER(Raw_HR_Data!H194)),NOT(ISNUMBER(Raw_HR_Data!I194))),"Check Source Data",IF(Raw_HR_Data!J194=Raw_HR_Data!F194+Raw_HR_Data!G194+Raw_HR_Data!H194-Raw_HR_Data!I194,"OK","Net Pay Error"))</x:f>
        <x:v>OK</x:v>
      </x:c>
      <x:c r="J196" s="17" t="str">
        <x:f>IF(Raw_HR_Data!K194="","Missing Bank Status","OK")</x:f>
        <x:v>OK</x:v>
      </x:c>
      <x:c r="K196" s="17" t="str">
        <x:f>IF(Raw_HR_Data!L194="","Missing PAN","OK")</x:f>
        <x:v>OK</x:v>
      </x:c>
      <x:c r="L196" s="17" t="str">
        <x:f>IF(Raw_HR_Data!M194&gt;31,"Invalid Attendance","OK")</x:f>
        <x:v>OK</x:v>
      </x:c>
      <x:c r="M196" s="17" t="str">
        <x:f>IF(OR(Raw_HR_Data!N194&gt;10,Raw_HR_Data!N194&gt;Raw_HR_Data!M194),"Invalid Leave","OK")</x:f>
        <x:v>OK</x:v>
      </x:c>
      <x:c r="N196" s="17" t="str">
        <x:f>IF(OR(Raw_HR_Data!O194="Processed",Raw_HR_Data!O194="Pending",Raw_HR_Data!O194="Hold"),"OK","Invalid Payroll Status")</x:f>
        <x:v>Invalid Payroll Status</x:v>
      </x:c>
      <x:c r="O196" s="17">
        <x:f>COUNTIF(D196:N196,"&lt;&gt;OK")-COUNTIF(I196,"Check Source Data")+IF(I196="Check Source Data",1,0)</x:f>
        <x:v>1</x:v>
      </x:c>
      <x:c r="P196" s="17" t="str">
        <x:f>IF(O196=0,"Clean","Error Found")</x:f>
        <x:v>Error Found</x:v>
      </x:c>
      <x:c r="Q196" s="18" t="str">
        <x:f>IF(P196="Clean","No action needed","Review raw record and update Validated_Data")</x:f>
        <x:v>Review raw record and update Validated_Data</x:v>
      </x:c>
    </x:row>
    <x:row r="197">
      <x:c r="A197" s="15" t="str">
        <x:f>Raw_HR_Data!A195</x:f>
        <x:v>EMP66072</x:v>
      </x:c>
      <x:c r="B197" s="16" t="str">
        <x:f>Raw_HR_Data!B195</x:f>
        <x:v>Henry Shah</x:v>
      </x:c>
      <x:c r="C197" s="16" t="str">
        <x:f>Raw_HR_Data!C195</x:f>
        <x:v>Finance Ops</x:v>
      </x:c>
      <x:c r="D197" s="17" t="str">
        <x:f>IF(COUNTIF(Raw_HR_Data!$A$2:$A$221,A197)&gt;1,"Duplicate","OK")</x:f>
        <x:v>OK</x:v>
      </x:c>
      <x:c r="E197" s="17" t="str">
        <x:f>IF(B197="","Missing Name","OK")</x:f>
        <x:v>OK</x:v>
      </x:c>
      <x:c r="F197" s="17" t="str">
        <x:f>IF(Raw_HR_Data!F195="","Missing Salary","OK")</x:f>
        <x:v>OK</x:v>
      </x:c>
      <x:c r="G197" s="17" t="str">
        <x:f>IF(AND(Raw_HR_Data!F195&lt;&gt;"",NOT(ISNUMBER(Raw_HR_Data!F195))),"Invalid Salary Type","OK")</x:f>
        <x:v>OK</x:v>
      </x:c>
      <x:c r="H197" s="17" t="str">
        <x:f>IF(Raw_HR_Data!I195&lt;0,"Invalid Deduction","OK")</x:f>
        <x:v>OK</x:v>
      </x:c>
      <x:c r="I197" s="17" t="str">
        <x:f>IF(OR(NOT(ISNUMBER(Raw_HR_Data!F195)),NOT(ISNUMBER(Raw_HR_Data!G195)),NOT(ISNUMBER(Raw_HR_Data!H195)),NOT(ISNUMBER(Raw_HR_Data!I195))),"Check Source Data",IF(Raw_HR_Data!J195=Raw_HR_Data!F195+Raw_HR_Data!G195+Raw_HR_Data!H195-Raw_HR_Data!I195,"OK","Net Pay Error"))</x:f>
        <x:v>OK</x:v>
      </x:c>
      <x:c r="J197" s="17" t="str">
        <x:f>IF(Raw_HR_Data!K195="","Missing Bank Status","OK")</x:f>
        <x:v>OK</x:v>
      </x:c>
      <x:c r="K197" s="17" t="str">
        <x:f>IF(Raw_HR_Data!L195="","Missing PAN","OK")</x:f>
        <x:v>OK</x:v>
      </x:c>
      <x:c r="L197" s="17" t="str">
        <x:f>IF(Raw_HR_Data!M195&gt;31,"Invalid Attendance","OK")</x:f>
        <x:v>OK</x:v>
      </x:c>
      <x:c r="M197" s="17" t="str">
        <x:f>IF(OR(Raw_HR_Data!N195&gt;10,Raw_HR_Data!N195&gt;Raw_HR_Data!M195),"Invalid Leave","OK")</x:f>
        <x:v>OK</x:v>
      </x:c>
      <x:c r="N197" s="17" t="str">
        <x:f>IF(OR(Raw_HR_Data!O195="Processed",Raw_HR_Data!O195="Pending",Raw_HR_Data!O195="Hold"),"OK","Invalid Payroll Status")</x:f>
        <x:v>OK</x:v>
      </x:c>
      <x:c r="O197" s="17">
        <x:f>COUNTIF(D197:N197,"&lt;&gt;OK")-COUNTIF(I197,"Check Source Data")+IF(I197="Check Source Data",1,0)</x:f>
        <x:v>0</x:v>
      </x:c>
      <x:c r="P197" s="17" t="str">
        <x:f>IF(O197=0,"Clean","Error Found")</x:f>
        <x:v>Clean</x:v>
      </x:c>
      <x:c r="Q197" s="18" t="str">
        <x:f>IF(P197="Clean","No action needed","Review raw record and update Validated_Data")</x:f>
        <x:v>No action needed</x:v>
      </x:c>
    </x:row>
    <x:row r="198">
      <x:c r="A198" s="15" t="str">
        <x:f>Raw_HR_Data!A196</x:f>
        <x:v>EMP40689</x:v>
      </x:c>
      <x:c r="B198" s="16" t="str">
        <x:f>Raw_HR_Data!B196</x:f>
        <x:v>Sneha Rao</x:v>
      </x:c>
      <x:c r="C198" s="16" t="str">
        <x:f>Raw_HR_Data!C196</x:f>
        <x:v>HR Shared Services</x:v>
      </x:c>
      <x:c r="D198" s="17" t="str">
        <x:f>IF(COUNTIF(Raw_HR_Data!$A$2:$A$221,A198)&gt;1,"Duplicate","OK")</x:f>
        <x:v>OK</x:v>
      </x:c>
      <x:c r="E198" s="17" t="str">
        <x:f>IF(B198="","Missing Name","OK")</x:f>
        <x:v>OK</x:v>
      </x:c>
      <x:c r="F198" s="17" t="str">
        <x:f>IF(Raw_HR_Data!F196="","Missing Salary","OK")</x:f>
        <x:v>OK</x:v>
      </x:c>
      <x:c r="G198" s="17" t="str">
        <x:f>IF(AND(Raw_HR_Data!F196&lt;&gt;"",NOT(ISNUMBER(Raw_HR_Data!F196))),"Invalid Salary Type","OK")</x:f>
        <x:v>OK</x:v>
      </x:c>
      <x:c r="H198" s="17" t="str">
        <x:f>IF(Raw_HR_Data!I196&lt;0,"Invalid Deduction","OK")</x:f>
        <x:v>OK</x:v>
      </x:c>
      <x:c r="I198" s="17" t="str">
        <x:f>IF(OR(NOT(ISNUMBER(Raw_HR_Data!F196)),NOT(ISNUMBER(Raw_HR_Data!G196)),NOT(ISNUMBER(Raw_HR_Data!H196)),NOT(ISNUMBER(Raw_HR_Data!I196))),"Check Source Data",IF(Raw_HR_Data!J196=Raw_HR_Data!F196+Raw_HR_Data!G196+Raw_HR_Data!H196-Raw_HR_Data!I196,"OK","Net Pay Error"))</x:f>
        <x:v>Net Pay Error</x:v>
      </x:c>
      <x:c r="J198" s="17" t="str">
        <x:f>IF(Raw_HR_Data!K196="","Missing Bank Status","OK")</x:f>
        <x:v>OK</x:v>
      </x:c>
      <x:c r="K198" s="17" t="str">
        <x:f>IF(Raw_HR_Data!L196="","Missing PAN","OK")</x:f>
        <x:v>OK</x:v>
      </x:c>
      <x:c r="L198" s="17" t="str">
        <x:f>IF(Raw_HR_Data!M196&gt;31,"Invalid Attendance","OK")</x:f>
        <x:v>OK</x:v>
      </x:c>
      <x:c r="M198" s="17" t="str">
        <x:f>IF(OR(Raw_HR_Data!N196&gt;10,Raw_HR_Data!N196&gt;Raw_HR_Data!M196),"Invalid Leave","OK")</x:f>
        <x:v>OK</x:v>
      </x:c>
      <x:c r="N198" s="17" t="str">
        <x:f>IF(OR(Raw_HR_Data!O196="Processed",Raw_HR_Data!O196="Pending",Raw_HR_Data!O196="Hold"),"OK","Invalid Payroll Status")</x:f>
        <x:v>OK</x:v>
      </x:c>
      <x:c r="O198" s="17">
        <x:f>COUNTIF(D198:N198,"&lt;&gt;OK")-COUNTIF(I198,"Check Source Data")+IF(I198="Check Source Data",1,0)</x:f>
        <x:v>1</x:v>
      </x:c>
      <x:c r="P198" s="17" t="str">
        <x:f>IF(O198=0,"Clean","Error Found")</x:f>
        <x:v>Error Found</x:v>
      </x:c>
      <x:c r="Q198" s="18" t="str">
        <x:f>IF(P198="Clean","No action needed","Review raw record and update Validated_Data")</x:f>
        <x:v>Review raw record and update Validated_Data</x:v>
      </x:c>
    </x:row>
    <x:row r="199">
      <x:c r="A199" s="15" t="str">
        <x:f>Raw_HR_Data!A197</x:f>
        <x:v>EMP25806</x:v>
      </x:c>
      <x:c r="B199" s="16" t="str">
        <x:f>Raw_HR_Data!B197</x:f>
        <x:v>Sneha Shah</x:v>
      </x:c>
      <x:c r="C199" s="16" t="str">
        <x:f>Raw_HR_Data!C197</x:f>
        <x:v>Finance Ops</x:v>
      </x:c>
      <x:c r="D199" s="17" t="str">
        <x:f>IF(COUNTIF(Raw_HR_Data!$A$2:$A$221,A199)&gt;1,"Duplicate","OK")</x:f>
        <x:v>OK</x:v>
      </x:c>
      <x:c r="E199" s="17" t="str">
        <x:f>IF(B199="","Missing Name","OK")</x:f>
        <x:v>OK</x:v>
      </x:c>
      <x:c r="F199" s="17" t="str">
        <x:f>IF(Raw_HR_Data!F197="","Missing Salary","OK")</x:f>
        <x:v>OK</x:v>
      </x:c>
      <x:c r="G199" s="17" t="str">
        <x:f>IF(AND(Raw_HR_Data!F197&lt;&gt;"",NOT(ISNUMBER(Raw_HR_Data!F197))),"Invalid Salary Type","OK")</x:f>
        <x:v>OK</x:v>
      </x:c>
      <x:c r="H199" s="17" t="str">
        <x:f>IF(Raw_HR_Data!I197&lt;0,"Invalid Deduction","OK")</x:f>
        <x:v>OK</x:v>
      </x:c>
      <x:c r="I199" s="17" t="str">
        <x:f>IF(OR(NOT(ISNUMBER(Raw_HR_Data!F197)),NOT(ISNUMBER(Raw_HR_Data!G197)),NOT(ISNUMBER(Raw_HR_Data!H197)),NOT(ISNUMBER(Raw_HR_Data!I197))),"Check Source Data",IF(Raw_HR_Data!J197=Raw_HR_Data!F197+Raw_HR_Data!G197+Raw_HR_Data!H197-Raw_HR_Data!I197,"OK","Net Pay Error"))</x:f>
        <x:v>OK</x:v>
      </x:c>
      <x:c r="J199" s="17" t="str">
        <x:f>IF(Raw_HR_Data!K197="","Missing Bank Status","OK")</x:f>
        <x:v>OK</x:v>
      </x:c>
      <x:c r="K199" s="17" t="str">
        <x:f>IF(Raw_HR_Data!L197="","Missing PAN","OK")</x:f>
        <x:v>OK</x:v>
      </x:c>
      <x:c r="L199" s="17" t="str">
        <x:f>IF(Raw_HR_Data!M197&gt;31,"Invalid Attendance","OK")</x:f>
        <x:v>OK</x:v>
      </x:c>
      <x:c r="M199" s="17" t="str">
        <x:f>IF(OR(Raw_HR_Data!N197&gt;10,Raw_HR_Data!N197&gt;Raw_HR_Data!M197),"Invalid Leave","OK")</x:f>
        <x:v>OK</x:v>
      </x:c>
      <x:c r="N199" s="17" t="str">
        <x:f>IF(OR(Raw_HR_Data!O197="Processed",Raw_HR_Data!O197="Pending",Raw_HR_Data!O197="Hold"),"OK","Invalid Payroll Status")</x:f>
        <x:v>OK</x:v>
      </x:c>
      <x:c r="O199" s="17">
        <x:f>COUNTIF(D199:N199,"&lt;&gt;OK")-COUNTIF(I199,"Check Source Data")+IF(I199="Check Source Data",1,0)</x:f>
        <x:v>0</x:v>
      </x:c>
      <x:c r="P199" s="17" t="str">
        <x:f>IF(O199=0,"Clean","Error Found")</x:f>
        <x:v>Clean</x:v>
      </x:c>
      <x:c r="Q199" s="18" t="str">
        <x:f>IF(P199="Clean","No action needed","Review raw record and update Validated_Data")</x:f>
        <x:v>No action needed</x:v>
      </x:c>
    </x:row>
    <x:row r="200">
      <x:c r="A200" s="15" t="str">
        <x:f>Raw_HR_Data!A198</x:f>
        <x:v>EMP27451</x:v>
      </x:c>
      <x:c r="B200" s="16" t="str">
        <x:f>Raw_HR_Data!B198</x:f>
        <x:v>Emma Brown</x:v>
      </x:c>
      <x:c r="C200" s="16" t="str">
        <x:f>Raw_HR_Data!C198</x:f>
        <x:v>Tax Support</x:v>
      </x:c>
      <x:c r="D200" s="17" t="str">
        <x:f>IF(COUNTIF(Raw_HR_Data!$A$2:$A$221,A200)&gt;1,"Duplicate","OK")</x:f>
        <x:v>OK</x:v>
      </x:c>
      <x:c r="E200" s="17" t="str">
        <x:f>IF(B200="","Missing Name","OK")</x:f>
        <x:v>OK</x:v>
      </x:c>
      <x:c r="F200" s="17" t="str">
        <x:f>IF(Raw_HR_Data!F198="","Missing Salary","OK")</x:f>
        <x:v>OK</x:v>
      </x:c>
      <x:c r="G200" s="17" t="str">
        <x:f>IF(AND(Raw_HR_Data!F198&lt;&gt;"",NOT(ISNUMBER(Raw_HR_Data!F198))),"Invalid Salary Type","OK")</x:f>
        <x:v>OK</x:v>
      </x:c>
      <x:c r="H200" s="17" t="str">
        <x:f>IF(Raw_HR_Data!I198&lt;0,"Invalid Deduction","OK")</x:f>
        <x:v>OK</x:v>
      </x:c>
      <x:c r="I200" s="17" t="str">
        <x:f>IF(OR(NOT(ISNUMBER(Raw_HR_Data!F198)),NOT(ISNUMBER(Raw_HR_Data!G198)),NOT(ISNUMBER(Raw_HR_Data!H198)),NOT(ISNUMBER(Raw_HR_Data!I198))),"Check Source Data",IF(Raw_HR_Data!J198=Raw_HR_Data!F198+Raw_HR_Data!G198+Raw_HR_Data!H198-Raw_HR_Data!I198,"OK","Net Pay Error"))</x:f>
        <x:v>OK</x:v>
      </x:c>
      <x:c r="J200" s="17" t="str">
        <x:f>IF(Raw_HR_Data!K198="","Missing Bank Status","OK")</x:f>
        <x:v>OK</x:v>
      </x:c>
      <x:c r="K200" s="17" t="str">
        <x:f>IF(Raw_HR_Data!L198="","Missing PAN","OK")</x:f>
        <x:v>OK</x:v>
      </x:c>
      <x:c r="L200" s="17" t="str">
        <x:f>IF(Raw_HR_Data!M198&gt;31,"Invalid Attendance","OK")</x:f>
        <x:v>OK</x:v>
      </x:c>
      <x:c r="M200" s="17" t="str">
        <x:f>IF(OR(Raw_HR_Data!N198&gt;10,Raw_HR_Data!N198&gt;Raw_HR_Data!M198),"Invalid Leave","OK")</x:f>
        <x:v>OK</x:v>
      </x:c>
      <x:c r="N200" s="17" t="str">
        <x:f>IF(OR(Raw_HR_Data!O198="Processed",Raw_HR_Data!O198="Pending",Raw_HR_Data!O198="Hold"),"OK","Invalid Payroll Status")</x:f>
        <x:v>OK</x:v>
      </x:c>
      <x:c r="O200" s="17">
        <x:f>COUNTIF(D200:N200,"&lt;&gt;OK")-COUNTIF(I200,"Check Source Data")+IF(I200="Check Source Data",1,0)</x:f>
        <x:v>0</x:v>
      </x:c>
      <x:c r="P200" s="17" t="str">
        <x:f>IF(O200=0,"Clean","Error Found")</x:f>
        <x:v>Clean</x:v>
      </x:c>
      <x:c r="Q200" s="18" t="str">
        <x:f>IF(P200="Clean","No action needed","Review raw record and update Validated_Data")</x:f>
        <x:v>No action needed</x:v>
      </x:c>
    </x:row>
    <x:row r="201">
      <x:c r="A201" s="15" t="str">
        <x:f>Raw_HR_Data!A199</x:f>
        <x:v>EMP23168</x:v>
      </x:c>
      <x:c r="B201" s="16" t="str">
        <x:f>Raw_HR_Data!B199</x:f>
        <x:v>Divya Singh</x:v>
      </x:c>
      <x:c r="C201" s="16" t="str">
        <x:f>Raw_HR_Data!C199</x:f>
        <x:v>HR Shared Services</x:v>
      </x:c>
      <x:c r="D201" s="17" t="str">
        <x:f>IF(COUNTIF(Raw_HR_Data!$A$2:$A$221,A201)&gt;1,"Duplicate","OK")</x:f>
        <x:v>OK</x:v>
      </x:c>
      <x:c r="E201" s="17" t="str">
        <x:f>IF(B201="","Missing Name","OK")</x:f>
        <x:v>OK</x:v>
      </x:c>
      <x:c r="F201" s="17" t="str">
        <x:f>IF(Raw_HR_Data!F199="","Missing Salary","OK")</x:f>
        <x:v>OK</x:v>
      </x:c>
      <x:c r="G201" s="17" t="str">
        <x:f>IF(AND(Raw_HR_Data!F199&lt;&gt;"",NOT(ISNUMBER(Raw_HR_Data!F199))),"Invalid Salary Type","OK")</x:f>
        <x:v>OK</x:v>
      </x:c>
      <x:c r="H201" s="17" t="str">
        <x:f>IF(Raw_HR_Data!I199&lt;0,"Invalid Deduction","OK")</x:f>
        <x:v>OK</x:v>
      </x:c>
      <x:c r="I201" s="17" t="str">
        <x:f>IF(OR(NOT(ISNUMBER(Raw_HR_Data!F199)),NOT(ISNUMBER(Raw_HR_Data!G199)),NOT(ISNUMBER(Raw_HR_Data!H199)),NOT(ISNUMBER(Raw_HR_Data!I199))),"Check Source Data",IF(Raw_HR_Data!J199=Raw_HR_Data!F199+Raw_HR_Data!G199+Raw_HR_Data!H199-Raw_HR_Data!I199,"OK","Net Pay Error"))</x:f>
        <x:v>OK</x:v>
      </x:c>
      <x:c r="J201" s="17" t="str">
        <x:f>IF(Raw_HR_Data!K199="","Missing Bank Status","OK")</x:f>
        <x:v>OK</x:v>
      </x:c>
      <x:c r="K201" s="17" t="str">
        <x:f>IF(Raw_HR_Data!L199="","Missing PAN","OK")</x:f>
        <x:v>OK</x:v>
      </x:c>
      <x:c r="L201" s="17" t="str">
        <x:f>IF(Raw_HR_Data!M199&gt;31,"Invalid Attendance","OK")</x:f>
        <x:v>OK</x:v>
      </x:c>
      <x:c r="M201" s="17" t="str">
        <x:f>IF(OR(Raw_HR_Data!N199&gt;10,Raw_HR_Data!N199&gt;Raw_HR_Data!M199),"Invalid Leave","OK")</x:f>
        <x:v>OK</x:v>
      </x:c>
      <x:c r="N201" s="17" t="str">
        <x:f>IF(OR(Raw_HR_Data!O199="Processed",Raw_HR_Data!O199="Pending",Raw_HR_Data!O199="Hold"),"OK","Invalid Payroll Status")</x:f>
        <x:v>OK</x:v>
      </x:c>
      <x:c r="O201" s="17">
        <x:f>COUNTIF(D201:N201,"&lt;&gt;OK")-COUNTIF(I201,"Check Source Data")+IF(I201="Check Source Data",1,0)</x:f>
        <x:v>0</x:v>
      </x:c>
      <x:c r="P201" s="17" t="str">
        <x:f>IF(O201=0,"Clean","Error Found")</x:f>
        <x:v>Clean</x:v>
      </x:c>
      <x:c r="Q201" s="18" t="str">
        <x:f>IF(P201="Clean","No action needed","Review raw record and update Validated_Data")</x:f>
        <x:v>No action needed</x:v>
      </x:c>
    </x:row>
    <x:row r="202">
      <x:c r="A202" s="15" t="str">
        <x:f>Raw_HR_Data!A200</x:f>
        <x:v>EMP89638</x:v>
      </x:c>
      <x:c r="B202" s="16" t="str">
        <x:f>Raw_HR_Data!B200</x:f>
        <x:v>Lucas Singh</x:v>
      </x:c>
      <x:c r="C202" s="16" t="str">
        <x:f>Raw_HR_Data!C200</x:f>
        <x:v>Payroll Ops</x:v>
      </x:c>
      <x:c r="D202" s="17" t="str">
        <x:f>IF(COUNTIF(Raw_HR_Data!$A$2:$A$221,A202)&gt;1,"Duplicate","OK")</x:f>
        <x:v>OK</x:v>
      </x:c>
      <x:c r="E202" s="17" t="str">
        <x:f>IF(B202="","Missing Name","OK")</x:f>
        <x:v>OK</x:v>
      </x:c>
      <x:c r="F202" s="17" t="str">
        <x:f>IF(Raw_HR_Data!F200="","Missing Salary","OK")</x:f>
        <x:v>OK</x:v>
      </x:c>
      <x:c r="G202" s="17" t="str">
        <x:f>IF(AND(Raw_HR_Data!F200&lt;&gt;"",NOT(ISNUMBER(Raw_HR_Data!F200))),"Invalid Salary Type","OK")</x:f>
        <x:v>OK</x:v>
      </x:c>
      <x:c r="H202" s="17" t="str">
        <x:f>IF(Raw_HR_Data!I200&lt;0,"Invalid Deduction","OK")</x:f>
        <x:v>OK</x:v>
      </x:c>
      <x:c r="I202" s="17" t="str">
        <x:f>IF(OR(NOT(ISNUMBER(Raw_HR_Data!F200)),NOT(ISNUMBER(Raw_HR_Data!G200)),NOT(ISNUMBER(Raw_HR_Data!H200)),NOT(ISNUMBER(Raw_HR_Data!I200))),"Check Source Data",IF(Raw_HR_Data!J200=Raw_HR_Data!F200+Raw_HR_Data!G200+Raw_HR_Data!H200-Raw_HR_Data!I200,"OK","Net Pay Error"))</x:f>
        <x:v>OK</x:v>
      </x:c>
      <x:c r="J202" s="17" t="str">
        <x:f>IF(Raw_HR_Data!K200="","Missing Bank Status","OK")</x:f>
        <x:v>OK</x:v>
      </x:c>
      <x:c r="K202" s="17" t="str">
        <x:f>IF(Raw_HR_Data!L200="","Missing PAN","OK")</x:f>
        <x:v>OK</x:v>
      </x:c>
      <x:c r="L202" s="17" t="str">
        <x:f>IF(Raw_HR_Data!M200&gt;31,"Invalid Attendance","OK")</x:f>
        <x:v>OK</x:v>
      </x:c>
      <x:c r="M202" s="17" t="str">
        <x:f>IF(OR(Raw_HR_Data!N200&gt;10,Raw_HR_Data!N200&gt;Raw_HR_Data!M200),"Invalid Leave","OK")</x:f>
        <x:v>Invalid Leave</x:v>
      </x:c>
      <x:c r="N202" s="17" t="str">
        <x:f>IF(OR(Raw_HR_Data!O200="Processed",Raw_HR_Data!O200="Pending",Raw_HR_Data!O200="Hold"),"OK","Invalid Payroll Status")</x:f>
        <x:v>OK</x:v>
      </x:c>
      <x:c r="O202" s="17">
        <x:f>COUNTIF(D202:N202,"&lt;&gt;OK")-COUNTIF(I202,"Check Source Data")+IF(I202="Check Source Data",1,0)</x:f>
        <x:v>1</x:v>
      </x:c>
      <x:c r="P202" s="17" t="str">
        <x:f>IF(O202=0,"Clean","Error Found")</x:f>
        <x:v>Error Found</x:v>
      </x:c>
      <x:c r="Q202" s="18" t="str">
        <x:f>IF(P202="Clean","No action needed","Review raw record and update Validated_Data")</x:f>
        <x:v>Review raw record and update Validated_Data</x:v>
      </x:c>
    </x:row>
    <x:row r="203">
      <x:c r="A203" s="15" t="str">
        <x:f>Raw_HR_Data!A201</x:f>
        <x:v>EMP24777</x:v>
      </x:c>
      <x:c r="B203" s="16" t="str">
        <x:f>Raw_HR_Data!B201</x:f>
        <x:v>Kavya Miller</x:v>
      </x:c>
      <x:c r="C203" s="16" t="str">
        <x:f>Raw_HR_Data!C201</x:f>
        <x:v>Consulting Ops</x:v>
      </x:c>
      <x:c r="D203" s="17" t="str">
        <x:f>IF(COUNTIF(Raw_HR_Data!$A$2:$A$221,A203)&gt;1,"Duplicate","OK")</x:f>
        <x:v>OK</x:v>
      </x:c>
      <x:c r="E203" s="17" t="str">
        <x:f>IF(B203="","Missing Name","OK")</x:f>
        <x:v>OK</x:v>
      </x:c>
      <x:c r="F203" s="17" t="str">
        <x:f>IF(Raw_HR_Data!F201="","Missing Salary","OK")</x:f>
        <x:v>OK</x:v>
      </x:c>
      <x:c r="G203" s="17" t="str">
        <x:f>IF(AND(Raw_HR_Data!F201&lt;&gt;"",NOT(ISNUMBER(Raw_HR_Data!F201))),"Invalid Salary Type","OK")</x:f>
        <x:v>OK</x:v>
      </x:c>
      <x:c r="H203" s="17" t="str">
        <x:f>IF(Raw_HR_Data!I201&lt;0,"Invalid Deduction","OK")</x:f>
        <x:v>OK</x:v>
      </x:c>
      <x:c r="I203" s="17" t="str">
        <x:f>IF(OR(NOT(ISNUMBER(Raw_HR_Data!F201)),NOT(ISNUMBER(Raw_HR_Data!G201)),NOT(ISNUMBER(Raw_HR_Data!H201)),NOT(ISNUMBER(Raw_HR_Data!I201))),"Check Source Data",IF(Raw_HR_Data!J201=Raw_HR_Data!F201+Raw_HR_Data!G201+Raw_HR_Data!H201-Raw_HR_Data!I201,"OK","Net Pay Error"))</x:f>
        <x:v>OK</x:v>
      </x:c>
      <x:c r="J203" s="17" t="str">
        <x:f>IF(Raw_HR_Data!K201="","Missing Bank Status","OK")</x:f>
        <x:v>OK</x:v>
      </x:c>
      <x:c r="K203" s="17" t="str">
        <x:f>IF(Raw_HR_Data!L201="","Missing PAN","OK")</x:f>
        <x:v>OK</x:v>
      </x:c>
      <x:c r="L203" s="17" t="str">
        <x:f>IF(Raw_HR_Data!M201&gt;31,"Invalid Attendance","OK")</x:f>
        <x:v>OK</x:v>
      </x:c>
      <x:c r="M203" s="17" t="str">
        <x:f>IF(OR(Raw_HR_Data!N201&gt;10,Raw_HR_Data!N201&gt;Raw_HR_Data!M201),"Invalid Leave","OK")</x:f>
        <x:v>OK</x:v>
      </x:c>
      <x:c r="N203" s="17" t="str">
        <x:f>IF(OR(Raw_HR_Data!O201="Processed",Raw_HR_Data!O201="Pending",Raw_HR_Data!O201="Hold"),"OK","Invalid Payroll Status")</x:f>
        <x:v>OK</x:v>
      </x:c>
      <x:c r="O203" s="17">
        <x:f>COUNTIF(D203:N203,"&lt;&gt;OK")-COUNTIF(I203,"Check Source Data")+IF(I203="Check Source Data",1,0)</x:f>
        <x:v>0</x:v>
      </x:c>
      <x:c r="P203" s="17" t="str">
        <x:f>IF(O203=0,"Clean","Error Found")</x:f>
        <x:v>Clean</x:v>
      </x:c>
      <x:c r="Q203" s="18" t="str">
        <x:f>IF(P203="Clean","No action needed","Review raw record and update Validated_Data")</x:f>
        <x:v>No action needed</x:v>
      </x:c>
    </x:row>
    <x:row r="204">
      <x:c r="A204" s="15" t="str">
        <x:f>Raw_HR_Data!A202</x:f>
        <x:v>EMP19567</x:v>
      </x:c>
      <x:c r="B204" s="16" t="str">
        <x:f>Raw_HR_Data!B202</x:f>
        <x:v>Aisha Patel</x:v>
      </x:c>
      <x:c r="C204" s="16" t="str">
        <x:f>Raw_HR_Data!C202</x:f>
        <x:v>HR Shared Services</x:v>
      </x:c>
      <x:c r="D204" s="17" t="str">
        <x:f>IF(COUNTIF(Raw_HR_Data!$A$2:$A$221,A204)&gt;1,"Duplicate","OK")</x:f>
        <x:v>OK</x:v>
      </x:c>
      <x:c r="E204" s="17" t="str">
        <x:f>IF(B204="","Missing Name","OK")</x:f>
        <x:v>OK</x:v>
      </x:c>
      <x:c r="F204" s="17" t="str">
        <x:f>IF(Raw_HR_Data!F202="","Missing Salary","OK")</x:f>
        <x:v>OK</x:v>
      </x:c>
      <x:c r="G204" s="17" t="str">
        <x:f>IF(AND(Raw_HR_Data!F202&lt;&gt;"",NOT(ISNUMBER(Raw_HR_Data!F202))),"Invalid Salary Type","OK")</x:f>
        <x:v>OK</x:v>
      </x:c>
      <x:c r="H204" s="17" t="str">
        <x:f>IF(Raw_HR_Data!I202&lt;0,"Invalid Deduction","OK")</x:f>
        <x:v>OK</x:v>
      </x:c>
      <x:c r="I204" s="17" t="str">
        <x:f>IF(OR(NOT(ISNUMBER(Raw_HR_Data!F202)),NOT(ISNUMBER(Raw_HR_Data!G202)),NOT(ISNUMBER(Raw_HR_Data!H202)),NOT(ISNUMBER(Raw_HR_Data!I202))),"Check Source Data",IF(Raw_HR_Data!J202=Raw_HR_Data!F202+Raw_HR_Data!G202+Raw_HR_Data!H202-Raw_HR_Data!I202,"OK","Net Pay Error"))</x:f>
        <x:v>OK</x:v>
      </x:c>
      <x:c r="J204" s="17" t="str">
        <x:f>IF(Raw_HR_Data!K202="","Missing Bank Status","OK")</x:f>
        <x:v>OK</x:v>
      </x:c>
      <x:c r="K204" s="17" t="str">
        <x:f>IF(Raw_HR_Data!L202="","Missing PAN","OK")</x:f>
        <x:v>OK</x:v>
      </x:c>
      <x:c r="L204" s="17" t="str">
        <x:f>IF(Raw_HR_Data!M202&gt;31,"Invalid Attendance","OK")</x:f>
        <x:v>OK</x:v>
      </x:c>
      <x:c r="M204" s="17" t="str">
        <x:f>IF(OR(Raw_HR_Data!N202&gt;10,Raw_HR_Data!N202&gt;Raw_HR_Data!M202),"Invalid Leave","OK")</x:f>
        <x:v>OK</x:v>
      </x:c>
      <x:c r="N204" s="17" t="str">
        <x:f>IF(OR(Raw_HR_Data!O202="Processed",Raw_HR_Data!O202="Pending",Raw_HR_Data!O202="Hold"),"OK","Invalid Payroll Status")</x:f>
        <x:v>OK</x:v>
      </x:c>
      <x:c r="O204" s="17">
        <x:f>COUNTIF(D204:N204,"&lt;&gt;OK")-COUNTIF(I204,"Check Source Data")+IF(I204="Check Source Data",1,0)</x:f>
        <x:v>0</x:v>
      </x:c>
      <x:c r="P204" s="17" t="str">
        <x:f>IF(O204=0,"Clean","Error Found")</x:f>
        <x:v>Clean</x:v>
      </x:c>
      <x:c r="Q204" s="18" t="str">
        <x:f>IF(P204="Clean","No action needed","Review raw record and update Validated_Data")</x:f>
        <x:v>No action needed</x:v>
      </x:c>
    </x:row>
    <x:row r="205">
      <x:c r="A205" s="15" t="str">
        <x:f>Raw_HR_Data!A203</x:f>
        <x:v>EMP80328</x:v>
      </x:c>
      <x:c r="B205" s="16" t="str">
        <x:f>Raw_HR_Data!B203</x:f>
        <x:v>Emma Jackson</x:v>
      </x:c>
      <x:c r="C205" s="16" t="str">
        <x:f>Raw_HR_Data!C203</x:f>
        <x:v>HR Shared Services</x:v>
      </x:c>
      <x:c r="D205" s="17" t="str">
        <x:f>IF(COUNTIF(Raw_HR_Data!$A$2:$A$221,A205)&gt;1,"Duplicate","OK")</x:f>
        <x:v>OK</x:v>
      </x:c>
      <x:c r="E205" s="17" t="str">
        <x:f>IF(B205="","Missing Name","OK")</x:f>
        <x:v>OK</x:v>
      </x:c>
      <x:c r="F205" s="17" t="str">
        <x:f>IF(Raw_HR_Data!F203="","Missing Salary","OK")</x:f>
        <x:v>OK</x:v>
      </x:c>
      <x:c r="G205" s="17" t="str">
        <x:f>IF(AND(Raw_HR_Data!F203&lt;&gt;"",NOT(ISNUMBER(Raw_HR_Data!F203))),"Invalid Salary Type","OK")</x:f>
        <x:v>OK</x:v>
      </x:c>
      <x:c r="H205" s="17" t="str">
        <x:f>IF(Raw_HR_Data!I203&lt;0,"Invalid Deduction","OK")</x:f>
        <x:v>OK</x:v>
      </x:c>
      <x:c r="I205" s="17" t="str">
        <x:f>IF(OR(NOT(ISNUMBER(Raw_HR_Data!F203)),NOT(ISNUMBER(Raw_HR_Data!G203)),NOT(ISNUMBER(Raw_HR_Data!H203)),NOT(ISNUMBER(Raw_HR_Data!I203))),"Check Source Data",IF(Raw_HR_Data!J203=Raw_HR_Data!F203+Raw_HR_Data!G203+Raw_HR_Data!H203-Raw_HR_Data!I203,"OK","Net Pay Error"))</x:f>
        <x:v>OK</x:v>
      </x:c>
      <x:c r="J205" s="17" t="str">
        <x:f>IF(Raw_HR_Data!K203="","Missing Bank Status","OK")</x:f>
        <x:v>OK</x:v>
      </x:c>
      <x:c r="K205" s="17" t="str">
        <x:f>IF(Raw_HR_Data!L203="","Missing PAN","OK")</x:f>
        <x:v>OK</x:v>
      </x:c>
      <x:c r="L205" s="17" t="str">
        <x:f>IF(Raw_HR_Data!M203&gt;31,"Invalid Attendance","OK")</x:f>
        <x:v>OK</x:v>
      </x:c>
      <x:c r="M205" s="17" t="str">
        <x:f>IF(OR(Raw_HR_Data!N203&gt;10,Raw_HR_Data!N203&gt;Raw_HR_Data!M203),"Invalid Leave","OK")</x:f>
        <x:v>OK</x:v>
      </x:c>
      <x:c r="N205" s="17" t="str">
        <x:f>IF(OR(Raw_HR_Data!O203="Processed",Raw_HR_Data!O203="Pending",Raw_HR_Data!O203="Hold"),"OK","Invalid Payroll Status")</x:f>
        <x:v>OK</x:v>
      </x:c>
      <x:c r="O205" s="17">
        <x:f>COUNTIF(D205:N205,"&lt;&gt;OK")-COUNTIF(I205,"Check Source Data")+IF(I205="Check Source Data",1,0)</x:f>
        <x:v>0</x:v>
      </x:c>
      <x:c r="P205" s="17" t="str">
        <x:f>IF(O205=0,"Clean","Error Found")</x:f>
        <x:v>Clean</x:v>
      </x:c>
      <x:c r="Q205" s="18" t="str">
        <x:f>IF(P205="Clean","No action needed","Review raw record and update Validated_Data")</x:f>
        <x:v>No action needed</x:v>
      </x:c>
    </x:row>
    <x:row r="206">
      <x:c r="A206" s="15" t="str">
        <x:f>Raw_HR_Data!A204</x:f>
        <x:v>EMP41278</x:v>
      </x:c>
      <x:c r="B206" s="16" t="str">
        <x:f>Raw_HR_Data!B204</x:f>
        <x:v>Amira Iyer</x:v>
      </x:c>
      <x:c r="C206" s="16" t="str">
        <x:f>Raw_HR_Data!C204</x:f>
        <x:v>HR Shared Services</x:v>
      </x:c>
      <x:c r="D206" s="17" t="str">
        <x:f>IF(COUNTIF(Raw_HR_Data!$A$2:$A$221,A206)&gt;1,"Duplicate","OK")</x:f>
        <x:v>OK</x:v>
      </x:c>
      <x:c r="E206" s="17" t="str">
        <x:f>IF(B206="","Missing Name","OK")</x:f>
        <x:v>OK</x:v>
      </x:c>
      <x:c r="F206" s="17" t="str">
        <x:f>IF(Raw_HR_Data!F204="","Missing Salary","OK")</x:f>
        <x:v>Missing Salary</x:v>
      </x:c>
      <x:c r="G206" s="17" t="str">
        <x:f>IF(AND(Raw_HR_Data!F204&lt;&gt;"",NOT(ISNUMBER(Raw_HR_Data!F204))),"Invalid Salary Type","OK")</x:f>
        <x:v>OK</x:v>
      </x:c>
      <x:c r="H206" s="17" t="str">
        <x:f>IF(Raw_HR_Data!I204&lt;0,"Invalid Deduction","OK")</x:f>
        <x:v>OK</x:v>
      </x:c>
      <x:c r="I206" s="17" t="str">
        <x:f>IF(OR(NOT(ISNUMBER(Raw_HR_Data!F204)),NOT(ISNUMBER(Raw_HR_Data!G204)),NOT(ISNUMBER(Raw_HR_Data!H204)),NOT(ISNUMBER(Raw_HR_Data!I204))),"Check Source Data",IF(Raw_HR_Data!J204=Raw_HR_Data!F204+Raw_HR_Data!G204+Raw_HR_Data!H204-Raw_HR_Data!I204,"OK","Net Pay Error"))</x:f>
        <x:v>Check Source Data</x:v>
      </x:c>
      <x:c r="J206" s="17" t="str">
        <x:f>IF(Raw_HR_Data!K204="","Missing Bank Status","OK")</x:f>
        <x:v>OK</x:v>
      </x:c>
      <x:c r="K206" s="17" t="str">
        <x:f>IF(Raw_HR_Data!L204="","Missing PAN","OK")</x:f>
        <x:v>OK</x:v>
      </x:c>
      <x:c r="L206" s="17" t="str">
        <x:f>IF(Raw_HR_Data!M204&gt;31,"Invalid Attendance","OK")</x:f>
        <x:v>OK</x:v>
      </x:c>
      <x:c r="M206" s="17" t="str">
        <x:f>IF(OR(Raw_HR_Data!N204&gt;10,Raw_HR_Data!N204&gt;Raw_HR_Data!M204),"Invalid Leave","OK")</x:f>
        <x:v>OK</x:v>
      </x:c>
      <x:c r="N206" s="17" t="str">
        <x:f>IF(OR(Raw_HR_Data!O204="Processed",Raw_HR_Data!O204="Pending",Raw_HR_Data!O204="Hold"),"OK","Invalid Payroll Status")</x:f>
        <x:v>OK</x:v>
      </x:c>
      <x:c r="O206" s="17">
        <x:f>COUNTIF(D206:N206,"&lt;&gt;OK")-COUNTIF(I206,"Check Source Data")+IF(I206="Check Source Data",1,0)</x:f>
        <x:v>2</x:v>
      </x:c>
      <x:c r="P206" s="17" t="str">
        <x:f>IF(O206=0,"Clean","Error Found")</x:f>
        <x:v>Error Found</x:v>
      </x:c>
      <x:c r="Q206" s="18" t="str">
        <x:f>IF(P206="Clean","No action needed","Review raw record and update Validated_Data")</x:f>
        <x:v>Review raw record and update Validated_Data</x:v>
      </x:c>
    </x:row>
    <x:row r="207">
      <x:c r="A207" s="15" t="str">
        <x:f>Raw_HR_Data!A205</x:f>
        <x:v>EMP16019</x:v>
      </x:c>
      <x:c r="B207" s="16" t="str">
        <x:f>Raw_HR_Data!B205</x:f>
        <x:v>Ethan Miller</x:v>
      </x:c>
      <x:c r="C207" s="16" t="str">
        <x:f>Raw_HR_Data!C205</x:f>
        <x:v>IT Support</x:v>
      </x:c>
      <x:c r="D207" s="17" t="str">
        <x:f>IF(COUNTIF(Raw_HR_Data!$A$2:$A$221,A207)&gt;1,"Duplicate","OK")</x:f>
        <x:v>Duplicate</x:v>
      </x:c>
      <x:c r="E207" s="17" t="str">
        <x:f>IF(B207="","Missing Name","OK")</x:f>
        <x:v>OK</x:v>
      </x:c>
      <x:c r="F207" s="17" t="str">
        <x:f>IF(Raw_HR_Data!F205="","Missing Salary","OK")</x:f>
        <x:v>OK</x:v>
      </x:c>
      <x:c r="G207" s="17" t="str">
        <x:f>IF(AND(Raw_HR_Data!F205&lt;&gt;"",NOT(ISNUMBER(Raw_HR_Data!F205))),"Invalid Salary Type","OK")</x:f>
        <x:v>OK</x:v>
      </x:c>
      <x:c r="H207" s="17" t="str">
        <x:f>IF(Raw_HR_Data!I205&lt;0,"Invalid Deduction","OK")</x:f>
        <x:v>OK</x:v>
      </x:c>
      <x:c r="I207" s="17" t="str">
        <x:f>IF(OR(NOT(ISNUMBER(Raw_HR_Data!F205)),NOT(ISNUMBER(Raw_HR_Data!G205)),NOT(ISNUMBER(Raw_HR_Data!H205)),NOT(ISNUMBER(Raw_HR_Data!I205))),"Check Source Data",IF(Raw_HR_Data!J205=Raw_HR_Data!F205+Raw_HR_Data!G205+Raw_HR_Data!H205-Raw_HR_Data!I205,"OK","Net Pay Error"))</x:f>
        <x:v>OK</x:v>
      </x:c>
      <x:c r="J207" s="17" t="str">
        <x:f>IF(Raw_HR_Data!K205="","Missing Bank Status","OK")</x:f>
        <x:v>OK</x:v>
      </x:c>
      <x:c r="K207" s="17" t="str">
        <x:f>IF(Raw_HR_Data!L205="","Missing PAN","OK")</x:f>
        <x:v>OK</x:v>
      </x:c>
      <x:c r="L207" s="17" t="str">
        <x:f>IF(Raw_HR_Data!M205&gt;31,"Invalid Attendance","OK")</x:f>
        <x:v>OK</x:v>
      </x:c>
      <x:c r="M207" s="17" t="str">
        <x:f>IF(OR(Raw_HR_Data!N205&gt;10,Raw_HR_Data!N205&gt;Raw_HR_Data!M205),"Invalid Leave","OK")</x:f>
        <x:v>OK</x:v>
      </x:c>
      <x:c r="N207" s="17" t="str">
        <x:f>IF(OR(Raw_HR_Data!O205="Processed",Raw_HR_Data!O205="Pending",Raw_HR_Data!O205="Hold"),"OK","Invalid Payroll Status")</x:f>
        <x:v>OK</x:v>
      </x:c>
      <x:c r="O207" s="17">
        <x:f>COUNTIF(D207:N207,"&lt;&gt;OK")-COUNTIF(I207,"Check Source Data")+IF(I207="Check Source Data",1,0)</x:f>
        <x:v>1</x:v>
      </x:c>
      <x:c r="P207" s="17" t="str">
        <x:f>IF(O207=0,"Clean","Error Found")</x:f>
        <x:v>Error Found</x:v>
      </x:c>
      <x:c r="Q207" s="18" t="str">
        <x:f>IF(P207="Clean","No action needed","Review raw record and update Validated_Data")</x:f>
        <x:v>Review raw record and update Validated_Data</x:v>
      </x:c>
    </x:row>
    <x:row r="208">
      <x:c r="A208" s="15" t="str">
        <x:f>Raw_HR_Data!A206</x:f>
        <x:v>EMP18371</x:v>
      </x:c>
      <x:c r="B208" s="16" t="str">
        <x:f>Raw_HR_Data!B206</x:f>
        <x:v>Kiran Shah</x:v>
      </x:c>
      <x:c r="C208" s="16" t="str">
        <x:f>Raw_HR_Data!C206</x:f>
        <x:v>Consulting Ops</x:v>
      </x:c>
      <x:c r="D208" s="17" t="str">
        <x:f>IF(COUNTIF(Raw_HR_Data!$A$2:$A$221,A208)&gt;1,"Duplicate","OK")</x:f>
        <x:v>OK</x:v>
      </x:c>
      <x:c r="E208" s="17" t="str">
        <x:f>IF(B208="","Missing Name","OK")</x:f>
        <x:v>OK</x:v>
      </x:c>
      <x:c r="F208" s="17" t="str">
        <x:f>IF(Raw_HR_Data!F206="","Missing Salary","OK")</x:f>
        <x:v>OK</x:v>
      </x:c>
      <x:c r="G208" s="17" t="str">
        <x:f>IF(AND(Raw_HR_Data!F206&lt;&gt;"",NOT(ISNUMBER(Raw_HR_Data!F206))),"Invalid Salary Type","OK")</x:f>
        <x:v>OK</x:v>
      </x:c>
      <x:c r="H208" s="17" t="str">
        <x:f>IF(Raw_HR_Data!I206&lt;0,"Invalid Deduction","OK")</x:f>
        <x:v>OK</x:v>
      </x:c>
      <x:c r="I208" s="17" t="str">
        <x:f>IF(OR(NOT(ISNUMBER(Raw_HR_Data!F206)),NOT(ISNUMBER(Raw_HR_Data!G206)),NOT(ISNUMBER(Raw_HR_Data!H206)),NOT(ISNUMBER(Raw_HR_Data!I206))),"Check Source Data",IF(Raw_HR_Data!J206=Raw_HR_Data!F206+Raw_HR_Data!G206+Raw_HR_Data!H206-Raw_HR_Data!I206,"OK","Net Pay Error"))</x:f>
        <x:v>OK</x:v>
      </x:c>
      <x:c r="J208" s="17" t="str">
        <x:f>IF(Raw_HR_Data!K206="","Missing Bank Status","OK")</x:f>
        <x:v>OK</x:v>
      </x:c>
      <x:c r="K208" s="17" t="str">
        <x:f>IF(Raw_HR_Data!L206="","Missing PAN","OK")</x:f>
        <x:v>OK</x:v>
      </x:c>
      <x:c r="L208" s="17" t="str">
        <x:f>IF(Raw_HR_Data!M206&gt;31,"Invalid Attendance","OK")</x:f>
        <x:v>OK</x:v>
      </x:c>
      <x:c r="M208" s="17" t="str">
        <x:f>IF(OR(Raw_HR_Data!N206&gt;10,Raw_HR_Data!N206&gt;Raw_HR_Data!M206),"Invalid Leave","OK")</x:f>
        <x:v>OK</x:v>
      </x:c>
      <x:c r="N208" s="17" t="str">
        <x:f>IF(OR(Raw_HR_Data!O206="Processed",Raw_HR_Data!O206="Pending",Raw_HR_Data!O206="Hold"),"OK","Invalid Payroll Status")</x:f>
        <x:v>OK</x:v>
      </x:c>
      <x:c r="O208" s="17">
        <x:f>COUNTIF(D208:N208,"&lt;&gt;OK")-COUNTIF(I208,"Check Source Data")+IF(I208="Check Source Data",1,0)</x:f>
        <x:v>0</x:v>
      </x:c>
      <x:c r="P208" s="17" t="str">
        <x:f>IF(O208=0,"Clean","Error Found")</x:f>
        <x:v>Clean</x:v>
      </x:c>
      <x:c r="Q208" s="18" t="str">
        <x:f>IF(P208="Clean","No action needed","Review raw record and update Validated_Data")</x:f>
        <x:v>No action needed</x:v>
      </x:c>
    </x:row>
    <x:row r="209">
      <x:c r="A209" s="15" t="str">
        <x:f>Raw_HR_Data!A207</x:f>
        <x:v>EMP85223</x:v>
      </x:c>
      <x:c r="B209" s="16" t="str">
        <x:f>Raw_HR_Data!B207</x:f>
        <x:v>Deepika Iyer</x:v>
      </x:c>
      <x:c r="C209" s="16" t="str">
        <x:f>Raw_HR_Data!C207</x:f>
        <x:v>Tax Support</x:v>
      </x:c>
      <x:c r="D209" s="17" t="str">
        <x:f>IF(COUNTIF(Raw_HR_Data!$A$2:$A$221,A209)&gt;1,"Duplicate","OK")</x:f>
        <x:v>OK</x:v>
      </x:c>
      <x:c r="E209" s="17" t="str">
        <x:f>IF(B209="","Missing Name","OK")</x:f>
        <x:v>OK</x:v>
      </x:c>
      <x:c r="F209" s="17" t="str">
        <x:f>IF(Raw_HR_Data!F207="","Missing Salary","OK")</x:f>
        <x:v>OK</x:v>
      </x:c>
      <x:c r="G209" s="17" t="str">
        <x:f>IF(AND(Raw_HR_Data!F207&lt;&gt;"",NOT(ISNUMBER(Raw_HR_Data!F207))),"Invalid Salary Type","OK")</x:f>
        <x:v>OK</x:v>
      </x:c>
      <x:c r="H209" s="17" t="str">
        <x:f>IF(Raw_HR_Data!I207&lt;0,"Invalid Deduction","OK")</x:f>
        <x:v>OK</x:v>
      </x:c>
      <x:c r="I209" s="17" t="str">
        <x:f>IF(OR(NOT(ISNUMBER(Raw_HR_Data!F207)),NOT(ISNUMBER(Raw_HR_Data!G207)),NOT(ISNUMBER(Raw_HR_Data!H207)),NOT(ISNUMBER(Raw_HR_Data!I207))),"Check Source Data",IF(Raw_HR_Data!J207=Raw_HR_Data!F207+Raw_HR_Data!G207+Raw_HR_Data!H207-Raw_HR_Data!I207,"OK","Net Pay Error"))</x:f>
        <x:v>OK</x:v>
      </x:c>
      <x:c r="J209" s="17" t="str">
        <x:f>IF(Raw_HR_Data!K207="","Missing Bank Status","OK")</x:f>
        <x:v>OK</x:v>
      </x:c>
      <x:c r="K209" s="17" t="str">
        <x:f>IF(Raw_HR_Data!L207="","Missing PAN","OK")</x:f>
        <x:v>OK</x:v>
      </x:c>
      <x:c r="L209" s="17" t="str">
        <x:f>IF(Raw_HR_Data!M207&gt;31,"Invalid Attendance","OK")</x:f>
        <x:v>Invalid Attendance</x:v>
      </x:c>
      <x:c r="M209" s="17" t="str">
        <x:f>IF(OR(Raw_HR_Data!N207&gt;10,Raw_HR_Data!N207&gt;Raw_HR_Data!M207),"Invalid Leave","OK")</x:f>
        <x:v>OK</x:v>
      </x:c>
      <x:c r="N209" s="17" t="str">
        <x:f>IF(OR(Raw_HR_Data!O207="Processed",Raw_HR_Data!O207="Pending",Raw_HR_Data!O207="Hold"),"OK","Invalid Payroll Status")</x:f>
        <x:v>OK</x:v>
      </x:c>
      <x:c r="O209" s="17">
        <x:f>COUNTIF(D209:N209,"&lt;&gt;OK")-COUNTIF(I209,"Check Source Data")+IF(I209="Check Source Data",1,0)</x:f>
        <x:v>1</x:v>
      </x:c>
      <x:c r="P209" s="17" t="str">
        <x:f>IF(O209=0,"Clean","Error Found")</x:f>
        <x:v>Error Found</x:v>
      </x:c>
      <x:c r="Q209" s="18" t="str">
        <x:f>IF(P209="Clean","No action needed","Review raw record and update Validated_Data")</x:f>
        <x:v>Review raw record and update Validated_Data</x:v>
      </x:c>
    </x:row>
    <x:row r="210">
      <x:c r="A210" s="15" t="str">
        <x:f>Raw_HR_Data!A208</x:f>
        <x:v>EMP95944</x:v>
      </x:c>
      <x:c r="B210" s="16" t="str">
        <x:f>Raw_HR_Data!B208</x:f>
        <x:v>Rohan Iyer</x:v>
      </x:c>
      <x:c r="C210" s="16" t="str">
        <x:f>Raw_HR_Data!C208</x:f>
        <x:v>IT Support</x:v>
      </x:c>
      <x:c r="D210" s="17" t="str">
        <x:f>IF(COUNTIF(Raw_HR_Data!$A$2:$A$221,A210)&gt;1,"Duplicate","OK")</x:f>
        <x:v>OK</x:v>
      </x:c>
      <x:c r="E210" s="17" t="str">
        <x:f>IF(B210="","Missing Name","OK")</x:f>
        <x:v>OK</x:v>
      </x:c>
      <x:c r="F210" s="17" t="str">
        <x:f>IF(Raw_HR_Data!F208="","Missing Salary","OK")</x:f>
        <x:v>OK</x:v>
      </x:c>
      <x:c r="G210" s="17" t="str">
        <x:f>IF(AND(Raw_HR_Data!F208&lt;&gt;"",NOT(ISNUMBER(Raw_HR_Data!F208))),"Invalid Salary Type","OK")</x:f>
        <x:v>OK</x:v>
      </x:c>
      <x:c r="H210" s="17" t="str">
        <x:f>IF(Raw_HR_Data!I208&lt;0,"Invalid Deduction","OK")</x:f>
        <x:v>OK</x:v>
      </x:c>
      <x:c r="I210" s="17" t="str">
        <x:f>IF(OR(NOT(ISNUMBER(Raw_HR_Data!F208)),NOT(ISNUMBER(Raw_HR_Data!G208)),NOT(ISNUMBER(Raw_HR_Data!H208)),NOT(ISNUMBER(Raw_HR_Data!I208))),"Check Source Data",IF(Raw_HR_Data!J208=Raw_HR_Data!F208+Raw_HR_Data!G208+Raw_HR_Data!H208-Raw_HR_Data!I208,"OK","Net Pay Error"))</x:f>
        <x:v>OK</x:v>
      </x:c>
      <x:c r="J210" s="17" t="str">
        <x:f>IF(Raw_HR_Data!K208="","Missing Bank Status","OK")</x:f>
        <x:v>OK</x:v>
      </x:c>
      <x:c r="K210" s="17" t="str">
        <x:f>IF(Raw_HR_Data!L208="","Missing PAN","OK")</x:f>
        <x:v>OK</x:v>
      </x:c>
      <x:c r="L210" s="17" t="str">
        <x:f>IF(Raw_HR_Data!M208&gt;31,"Invalid Attendance","OK")</x:f>
        <x:v>OK</x:v>
      </x:c>
      <x:c r="M210" s="17" t="str">
        <x:f>IF(OR(Raw_HR_Data!N208&gt;10,Raw_HR_Data!N208&gt;Raw_HR_Data!M208),"Invalid Leave","OK")</x:f>
        <x:v>OK</x:v>
      </x:c>
      <x:c r="N210" s="17" t="str">
        <x:f>IF(OR(Raw_HR_Data!O208="Processed",Raw_HR_Data!O208="Pending",Raw_HR_Data!O208="Hold"),"OK","Invalid Payroll Status")</x:f>
        <x:v>OK</x:v>
      </x:c>
      <x:c r="O210" s="17">
        <x:f>COUNTIF(D210:N210,"&lt;&gt;OK")-COUNTIF(I210,"Check Source Data")+IF(I210="Check Source Data",1,0)</x:f>
        <x:v>0</x:v>
      </x:c>
      <x:c r="P210" s="17" t="str">
        <x:f>IF(O210=0,"Clean","Error Found")</x:f>
        <x:v>Clean</x:v>
      </x:c>
      <x:c r="Q210" s="18" t="str">
        <x:f>IF(P210="Clean","No action needed","Review raw record and update Validated_Data")</x:f>
        <x:v>No action needed</x:v>
      </x:c>
    </x:row>
    <x:row r="211">
      <x:c r="A211" s="15" t="str">
        <x:f>Raw_HR_Data!A209</x:f>
        <x:v>EMP16019</x:v>
      </x:c>
      <x:c r="B211" s="16" t="str">
        <x:f>Raw_HR_Data!B209</x:f>
        <x:v>Ravi Brown</x:v>
      </x:c>
      <x:c r="C211" s="16" t="str">
        <x:f>Raw_HR_Data!C209</x:f>
        <x:v>Audit Support</x:v>
      </x:c>
      <x:c r="D211" s="17" t="str">
        <x:f>IF(COUNTIF(Raw_HR_Data!$A$2:$A$221,A211)&gt;1,"Duplicate","OK")</x:f>
        <x:v>Duplicate</x:v>
      </x:c>
      <x:c r="E211" s="17" t="str">
        <x:f>IF(B211="","Missing Name","OK")</x:f>
        <x:v>OK</x:v>
      </x:c>
      <x:c r="F211" s="17" t="str">
        <x:f>IF(Raw_HR_Data!F209="","Missing Salary","OK")</x:f>
        <x:v>OK</x:v>
      </x:c>
      <x:c r="G211" s="17" t="str">
        <x:f>IF(AND(Raw_HR_Data!F209&lt;&gt;"",NOT(ISNUMBER(Raw_HR_Data!F209))),"Invalid Salary Type","OK")</x:f>
        <x:v>OK</x:v>
      </x:c>
      <x:c r="H211" s="17" t="str">
        <x:f>IF(Raw_HR_Data!I209&lt;0,"Invalid Deduction","OK")</x:f>
        <x:v>OK</x:v>
      </x:c>
      <x:c r="I211" s="17" t="str">
        <x:f>IF(OR(NOT(ISNUMBER(Raw_HR_Data!F209)),NOT(ISNUMBER(Raw_HR_Data!G209)),NOT(ISNUMBER(Raw_HR_Data!H209)),NOT(ISNUMBER(Raw_HR_Data!I209))),"Check Source Data",IF(Raw_HR_Data!J209=Raw_HR_Data!F209+Raw_HR_Data!G209+Raw_HR_Data!H209-Raw_HR_Data!I209,"OK","Net Pay Error"))</x:f>
        <x:v>OK</x:v>
      </x:c>
      <x:c r="J211" s="17" t="str">
        <x:f>IF(Raw_HR_Data!K209="","Missing Bank Status","OK")</x:f>
        <x:v>OK</x:v>
      </x:c>
      <x:c r="K211" s="17" t="str">
        <x:f>IF(Raw_HR_Data!L209="","Missing PAN","OK")</x:f>
        <x:v>OK</x:v>
      </x:c>
      <x:c r="L211" s="17" t="str">
        <x:f>IF(Raw_HR_Data!M209&gt;31,"Invalid Attendance","OK")</x:f>
        <x:v>OK</x:v>
      </x:c>
      <x:c r="M211" s="17" t="str">
        <x:f>IF(OR(Raw_HR_Data!N209&gt;10,Raw_HR_Data!N209&gt;Raw_HR_Data!M209),"Invalid Leave","OK")</x:f>
        <x:v>OK</x:v>
      </x:c>
      <x:c r="N211" s="17" t="str">
        <x:f>IF(OR(Raw_HR_Data!O209="Processed",Raw_HR_Data!O209="Pending",Raw_HR_Data!O209="Hold"),"OK","Invalid Payroll Status")</x:f>
        <x:v>OK</x:v>
      </x:c>
      <x:c r="O211" s="17">
        <x:f>COUNTIF(D211:N211,"&lt;&gt;OK")-COUNTIF(I211,"Check Source Data")+IF(I211="Check Source Data",1,0)</x:f>
        <x:v>1</x:v>
      </x:c>
      <x:c r="P211" s="17" t="str">
        <x:f>IF(O211=0,"Clean","Error Found")</x:f>
        <x:v>Error Found</x:v>
      </x:c>
      <x:c r="Q211" s="18" t="str">
        <x:f>IF(P211="Clean","No action needed","Review raw record and update Validated_Data")</x:f>
        <x:v>Review raw record and update Validated_Data</x:v>
      </x:c>
    </x:row>
    <x:row r="212">
      <x:c r="A212" s="15" t="str">
        <x:f>Raw_HR_Data!A210</x:f>
        <x:v>EMP41795</x:v>
      </x:c>
      <x:c r="B212" s="16" t="str">
        <x:f>Raw_HR_Data!B210</x:f>
        <x:v>Vikram Kumar</x:v>
      </x:c>
      <x:c r="C212" s="16" t="str">
        <x:f>Raw_HR_Data!C210</x:f>
        <x:v>Consulting Ops</x:v>
      </x:c>
      <x:c r="D212" s="17" t="str">
        <x:f>IF(COUNTIF(Raw_HR_Data!$A$2:$A$221,A212)&gt;1,"Duplicate","OK")</x:f>
        <x:v>OK</x:v>
      </x:c>
      <x:c r="E212" s="17" t="str">
        <x:f>IF(B212="","Missing Name","OK")</x:f>
        <x:v>OK</x:v>
      </x:c>
      <x:c r="F212" s="17" t="str">
        <x:f>IF(Raw_HR_Data!F210="","Missing Salary","OK")</x:f>
        <x:v>OK</x:v>
      </x:c>
      <x:c r="G212" s="17" t="str">
        <x:f>IF(AND(Raw_HR_Data!F210&lt;&gt;"",NOT(ISNUMBER(Raw_HR_Data!F210))),"Invalid Salary Type","OK")</x:f>
        <x:v>OK</x:v>
      </x:c>
      <x:c r="H212" s="17" t="str">
        <x:f>IF(Raw_HR_Data!I210&lt;0,"Invalid Deduction","OK")</x:f>
        <x:v>OK</x:v>
      </x:c>
      <x:c r="I212" s="17" t="str">
        <x:f>IF(OR(NOT(ISNUMBER(Raw_HR_Data!F210)),NOT(ISNUMBER(Raw_HR_Data!G210)),NOT(ISNUMBER(Raw_HR_Data!H210)),NOT(ISNUMBER(Raw_HR_Data!I210))),"Check Source Data",IF(Raw_HR_Data!J210=Raw_HR_Data!F210+Raw_HR_Data!G210+Raw_HR_Data!H210-Raw_HR_Data!I210,"OK","Net Pay Error"))</x:f>
        <x:v>OK</x:v>
      </x:c>
      <x:c r="J212" s="17" t="str">
        <x:f>IF(Raw_HR_Data!K210="","Missing Bank Status","OK")</x:f>
        <x:v>OK</x:v>
      </x:c>
      <x:c r="K212" s="17" t="str">
        <x:f>IF(Raw_HR_Data!L210="","Missing PAN","OK")</x:f>
        <x:v>OK</x:v>
      </x:c>
      <x:c r="L212" s="17" t="str">
        <x:f>IF(Raw_HR_Data!M210&gt;31,"Invalid Attendance","OK")</x:f>
        <x:v>OK</x:v>
      </x:c>
      <x:c r="M212" s="17" t="str">
        <x:f>IF(OR(Raw_HR_Data!N210&gt;10,Raw_HR_Data!N210&gt;Raw_HR_Data!M210),"Invalid Leave","OK")</x:f>
        <x:v>OK</x:v>
      </x:c>
      <x:c r="N212" s="17" t="str">
        <x:f>IF(OR(Raw_HR_Data!O210="Processed",Raw_HR_Data!O210="Pending",Raw_HR_Data!O210="Hold"),"OK","Invalid Payroll Status")</x:f>
        <x:v>OK</x:v>
      </x:c>
      <x:c r="O212" s="17">
        <x:f>COUNTIF(D212:N212,"&lt;&gt;OK")-COUNTIF(I212,"Check Source Data")+IF(I212="Check Source Data",1,0)</x:f>
        <x:v>0</x:v>
      </x:c>
      <x:c r="P212" s="17" t="str">
        <x:f>IF(O212=0,"Clean","Error Found")</x:f>
        <x:v>Clean</x:v>
      </x:c>
      <x:c r="Q212" s="18" t="str">
        <x:f>IF(P212="Clean","No action needed","Review raw record and update Validated_Data")</x:f>
        <x:v>No action needed</x:v>
      </x:c>
    </x:row>
    <x:row r="213">
      <x:c r="A213" s="15" t="str">
        <x:f>Raw_HR_Data!A211</x:f>
        <x:v>EMP11257</x:v>
      </x:c>
      <x:c r="B213" s="16" t="str">
        <x:f>Raw_HR_Data!B211</x:f>
        <x:v>Noah Anderson</x:v>
      </x:c>
      <x:c r="C213" s="16" t="str">
        <x:f>Raw_HR_Data!C211</x:f>
        <x:v>Risk Advisory</x:v>
      </x:c>
      <x:c r="D213" s="17" t="str">
        <x:f>IF(COUNTIF(Raw_HR_Data!$A$2:$A$221,A213)&gt;1,"Duplicate","OK")</x:f>
        <x:v>OK</x:v>
      </x:c>
      <x:c r="E213" s="17" t="str">
        <x:f>IF(B213="","Missing Name","OK")</x:f>
        <x:v>OK</x:v>
      </x:c>
      <x:c r="F213" s="17" t="str">
        <x:f>IF(Raw_HR_Data!F211="","Missing Salary","OK")</x:f>
        <x:v>OK</x:v>
      </x:c>
      <x:c r="G213" s="17" t="str">
        <x:f>IF(AND(Raw_HR_Data!F211&lt;&gt;"",NOT(ISNUMBER(Raw_HR_Data!F211))),"Invalid Salary Type","OK")</x:f>
        <x:v>OK</x:v>
      </x:c>
      <x:c r="H213" s="17" t="str">
        <x:f>IF(Raw_HR_Data!I211&lt;0,"Invalid Deduction","OK")</x:f>
        <x:v>OK</x:v>
      </x:c>
      <x:c r="I213" s="17" t="str">
        <x:f>IF(OR(NOT(ISNUMBER(Raw_HR_Data!F211)),NOT(ISNUMBER(Raw_HR_Data!G211)),NOT(ISNUMBER(Raw_HR_Data!H211)),NOT(ISNUMBER(Raw_HR_Data!I211))),"Check Source Data",IF(Raw_HR_Data!J211=Raw_HR_Data!F211+Raw_HR_Data!G211+Raw_HR_Data!H211-Raw_HR_Data!I211,"OK","Net Pay Error"))</x:f>
        <x:v>OK</x:v>
      </x:c>
      <x:c r="J213" s="17" t="str">
        <x:f>IF(Raw_HR_Data!K211="","Missing Bank Status","OK")</x:f>
        <x:v>Missing Bank Status</x:v>
      </x:c>
      <x:c r="K213" s="17" t="str">
        <x:f>IF(Raw_HR_Data!L211="","Missing PAN","OK")</x:f>
        <x:v>OK</x:v>
      </x:c>
      <x:c r="L213" s="17" t="str">
        <x:f>IF(Raw_HR_Data!M211&gt;31,"Invalid Attendance","OK")</x:f>
        <x:v>OK</x:v>
      </x:c>
      <x:c r="M213" s="17" t="str">
        <x:f>IF(OR(Raw_HR_Data!N211&gt;10,Raw_HR_Data!N211&gt;Raw_HR_Data!M211),"Invalid Leave","OK")</x:f>
        <x:v>OK</x:v>
      </x:c>
      <x:c r="N213" s="17" t="str">
        <x:f>IF(OR(Raw_HR_Data!O211="Processed",Raw_HR_Data!O211="Pending",Raw_HR_Data!O211="Hold"),"OK","Invalid Payroll Status")</x:f>
        <x:v>OK</x:v>
      </x:c>
      <x:c r="O213" s="17">
        <x:f>COUNTIF(D213:N213,"&lt;&gt;OK")-COUNTIF(I213,"Check Source Data")+IF(I213="Check Source Data",1,0)</x:f>
        <x:v>1</x:v>
      </x:c>
      <x:c r="P213" s="17" t="str">
        <x:f>IF(O213=0,"Clean","Error Found")</x:f>
        <x:v>Error Found</x:v>
      </x:c>
      <x:c r="Q213" s="18" t="str">
        <x:f>IF(P213="Clean","No action needed","Review raw record and update Validated_Data")</x:f>
        <x:v>Review raw record and update Validated_Data</x:v>
      </x:c>
    </x:row>
    <x:row r="214">
      <x:c r="A214" s="15" t="str">
        <x:f>Raw_HR_Data!A212</x:f>
        <x:v>EMP78125</x:v>
      </x:c>
      <x:c r="B214" s="16" t="str">
        <x:f>Raw_HR_Data!B212</x:f>
        <x:v>Rohan Shah</x:v>
      </x:c>
      <x:c r="C214" s="16" t="str">
        <x:f>Raw_HR_Data!C212</x:f>
        <x:v>IT Support</x:v>
      </x:c>
      <x:c r="D214" s="17" t="str">
        <x:f>IF(COUNTIF(Raw_HR_Data!$A$2:$A$221,A214)&gt;1,"Duplicate","OK")</x:f>
        <x:v>Duplicate</x:v>
      </x:c>
      <x:c r="E214" s="17" t="str">
        <x:f>IF(B214="","Missing Name","OK")</x:f>
        <x:v>OK</x:v>
      </x:c>
      <x:c r="F214" s="17" t="str">
        <x:f>IF(Raw_HR_Data!F212="","Missing Salary","OK")</x:f>
        <x:v>OK</x:v>
      </x:c>
      <x:c r="G214" s="17" t="str">
        <x:f>IF(AND(Raw_HR_Data!F212&lt;&gt;"",NOT(ISNUMBER(Raw_HR_Data!F212))),"Invalid Salary Type","OK")</x:f>
        <x:v>Invalid Salary Type</x:v>
      </x:c>
      <x:c r="H214" s="17" t="str">
        <x:f>IF(Raw_HR_Data!I212&lt;0,"Invalid Deduction","OK")</x:f>
        <x:v>OK</x:v>
      </x:c>
      <x:c r="I214" s="17" t="str">
        <x:f>IF(OR(NOT(ISNUMBER(Raw_HR_Data!F212)),NOT(ISNUMBER(Raw_HR_Data!G212)),NOT(ISNUMBER(Raw_HR_Data!H212)),NOT(ISNUMBER(Raw_HR_Data!I212))),"Check Source Data",IF(Raw_HR_Data!J212=Raw_HR_Data!F212+Raw_HR_Data!G212+Raw_HR_Data!H212-Raw_HR_Data!I212,"OK","Net Pay Error"))</x:f>
        <x:v>Check Source Data</x:v>
      </x:c>
      <x:c r="J214" s="17" t="str">
        <x:f>IF(Raw_HR_Data!K212="","Missing Bank Status","OK")</x:f>
        <x:v>OK</x:v>
      </x:c>
      <x:c r="K214" s="17" t="str">
        <x:f>IF(Raw_HR_Data!L212="","Missing PAN","OK")</x:f>
        <x:v>OK</x:v>
      </x:c>
      <x:c r="L214" s="17" t="str">
        <x:f>IF(Raw_HR_Data!M212&gt;31,"Invalid Attendance","OK")</x:f>
        <x:v>OK</x:v>
      </x:c>
      <x:c r="M214" s="17" t="str">
        <x:f>IF(OR(Raw_HR_Data!N212&gt;10,Raw_HR_Data!N212&gt;Raw_HR_Data!M212),"Invalid Leave","OK")</x:f>
        <x:v>OK</x:v>
      </x:c>
      <x:c r="N214" s="17" t="str">
        <x:f>IF(OR(Raw_HR_Data!O212="Processed",Raw_HR_Data!O212="Pending",Raw_HR_Data!O212="Hold"),"OK","Invalid Payroll Status")</x:f>
        <x:v>OK</x:v>
      </x:c>
      <x:c r="O214" s="17">
        <x:f>COUNTIF(D214:N214,"&lt;&gt;OK")-COUNTIF(I214,"Check Source Data")+IF(I214="Check Source Data",1,0)</x:f>
        <x:v>3</x:v>
      </x:c>
      <x:c r="P214" s="17" t="str">
        <x:f>IF(O214=0,"Clean","Error Found")</x:f>
        <x:v>Error Found</x:v>
      </x:c>
      <x:c r="Q214" s="18" t="str">
        <x:f>IF(P214="Clean","No action needed","Review raw record and update Validated_Data")</x:f>
        <x:v>Review raw record and update Validated_Data</x:v>
      </x:c>
    </x:row>
    <x:row r="215">
      <x:c r="A215" s="15" t="str">
        <x:f>Raw_HR_Data!A213</x:f>
        <x:v>EMP44208</x:v>
      </x:c>
      <x:c r="B215" s="16" t="str">
        <x:f>Raw_HR_Data!B213</x:f>
        <x:v>Mohammed White</x:v>
      </x:c>
      <x:c r="C215" s="16" t="str">
        <x:f>Raw_HR_Data!C213</x:f>
        <x:v>Risk Advisory</x:v>
      </x:c>
      <x:c r="D215" s="17" t="str">
        <x:f>IF(COUNTIF(Raw_HR_Data!$A$2:$A$221,A215)&gt;1,"Duplicate","OK")</x:f>
        <x:v>OK</x:v>
      </x:c>
      <x:c r="E215" s="17" t="str">
        <x:f>IF(B215="","Missing Name","OK")</x:f>
        <x:v>OK</x:v>
      </x:c>
      <x:c r="F215" s="17" t="str">
        <x:f>IF(Raw_HR_Data!F213="","Missing Salary","OK")</x:f>
        <x:v>OK</x:v>
      </x:c>
      <x:c r="G215" s="17" t="str">
        <x:f>IF(AND(Raw_HR_Data!F213&lt;&gt;"",NOT(ISNUMBER(Raw_HR_Data!F213))),"Invalid Salary Type","OK")</x:f>
        <x:v>OK</x:v>
      </x:c>
      <x:c r="H215" s="17" t="str">
        <x:f>IF(Raw_HR_Data!I213&lt;0,"Invalid Deduction","OK")</x:f>
        <x:v>OK</x:v>
      </x:c>
      <x:c r="I215" s="17" t="str">
        <x:f>IF(OR(NOT(ISNUMBER(Raw_HR_Data!F213)),NOT(ISNUMBER(Raw_HR_Data!G213)),NOT(ISNUMBER(Raw_HR_Data!H213)),NOT(ISNUMBER(Raw_HR_Data!I213))),"Check Source Data",IF(Raw_HR_Data!J213=Raw_HR_Data!F213+Raw_HR_Data!G213+Raw_HR_Data!H213-Raw_HR_Data!I213,"OK","Net Pay Error"))</x:f>
        <x:v>OK</x:v>
      </x:c>
      <x:c r="J215" s="17" t="str">
        <x:f>IF(Raw_HR_Data!K213="","Missing Bank Status","OK")</x:f>
        <x:v>OK</x:v>
      </x:c>
      <x:c r="K215" s="17" t="str">
        <x:f>IF(Raw_HR_Data!L213="","Missing PAN","OK")</x:f>
        <x:v>OK</x:v>
      </x:c>
      <x:c r="L215" s="17" t="str">
        <x:f>IF(Raw_HR_Data!M213&gt;31,"Invalid Attendance","OK")</x:f>
        <x:v>OK</x:v>
      </x:c>
      <x:c r="M215" s="17" t="str">
        <x:f>IF(OR(Raw_HR_Data!N213&gt;10,Raw_HR_Data!N213&gt;Raw_HR_Data!M213),"Invalid Leave","OK")</x:f>
        <x:v>OK</x:v>
      </x:c>
      <x:c r="N215" s="17" t="str">
        <x:f>IF(OR(Raw_HR_Data!O213="Processed",Raw_HR_Data!O213="Pending",Raw_HR_Data!O213="Hold"),"OK","Invalid Payroll Status")</x:f>
        <x:v>OK</x:v>
      </x:c>
      <x:c r="O215" s="17">
        <x:f>COUNTIF(D215:N215,"&lt;&gt;OK")-COUNTIF(I215,"Check Source Data")+IF(I215="Check Source Data",1,0)</x:f>
        <x:v>0</x:v>
      </x:c>
      <x:c r="P215" s="17" t="str">
        <x:f>IF(O215=0,"Clean","Error Found")</x:f>
        <x:v>Clean</x:v>
      </x:c>
      <x:c r="Q215" s="18" t="str">
        <x:f>IF(P215="Clean","No action needed","Review raw record and update Validated_Data")</x:f>
        <x:v>No action needed</x:v>
      </x:c>
    </x:row>
    <x:row r="216">
      <x:c r="A216" s="15" t="str">
        <x:f>Raw_HR_Data!A214</x:f>
        <x:v>EMP71086</x:v>
      </x:c>
      <x:c r="B216" s="16" t="str">
        <x:f>Raw_HR_Data!B214</x:f>
        <x:v>Mohammed Martin</x:v>
      </x:c>
      <x:c r="C216" s="16" t="str">
        <x:f>Raw_HR_Data!C214</x:f>
        <x:v>HR Shared Services</x:v>
      </x:c>
      <x:c r="D216" s="17" t="str">
        <x:f>IF(COUNTIF(Raw_HR_Data!$A$2:$A$221,A216)&gt;1,"Duplicate","OK")</x:f>
        <x:v>OK</x:v>
      </x:c>
      <x:c r="E216" s="17" t="str">
        <x:f>IF(B216="","Missing Name","OK")</x:f>
        <x:v>OK</x:v>
      </x:c>
      <x:c r="F216" s="17" t="str">
        <x:f>IF(Raw_HR_Data!F214="","Missing Salary","OK")</x:f>
        <x:v>OK</x:v>
      </x:c>
      <x:c r="G216" s="17" t="str">
        <x:f>IF(AND(Raw_HR_Data!F214&lt;&gt;"",NOT(ISNUMBER(Raw_HR_Data!F214))),"Invalid Salary Type","OK")</x:f>
        <x:v>OK</x:v>
      </x:c>
      <x:c r="H216" s="17" t="str">
        <x:f>IF(Raw_HR_Data!I214&lt;0,"Invalid Deduction","OK")</x:f>
        <x:v>OK</x:v>
      </x:c>
      <x:c r="I216" s="17" t="str">
        <x:f>IF(OR(NOT(ISNUMBER(Raw_HR_Data!F214)),NOT(ISNUMBER(Raw_HR_Data!G214)),NOT(ISNUMBER(Raw_HR_Data!H214)),NOT(ISNUMBER(Raw_HR_Data!I214))),"Check Source Data",IF(Raw_HR_Data!J214=Raw_HR_Data!F214+Raw_HR_Data!G214+Raw_HR_Data!H214-Raw_HR_Data!I214,"OK","Net Pay Error"))</x:f>
        <x:v>OK</x:v>
      </x:c>
      <x:c r="J216" s="17" t="str">
        <x:f>IF(Raw_HR_Data!K214="","Missing Bank Status","OK")</x:f>
        <x:v>OK</x:v>
      </x:c>
      <x:c r="K216" s="17" t="str">
        <x:f>IF(Raw_HR_Data!L214="","Missing PAN","OK")</x:f>
        <x:v>OK</x:v>
      </x:c>
      <x:c r="L216" s="17" t="str">
        <x:f>IF(Raw_HR_Data!M214&gt;31,"Invalid Attendance","OK")</x:f>
        <x:v>OK</x:v>
      </x:c>
      <x:c r="M216" s="17" t="str">
        <x:f>IF(OR(Raw_HR_Data!N214&gt;10,Raw_HR_Data!N214&gt;Raw_HR_Data!M214),"Invalid Leave","OK")</x:f>
        <x:v>OK</x:v>
      </x:c>
      <x:c r="N216" s="17" t="str">
        <x:f>IF(OR(Raw_HR_Data!O214="Processed",Raw_HR_Data!O214="Pending",Raw_HR_Data!O214="Hold"),"OK","Invalid Payroll Status")</x:f>
        <x:v>OK</x:v>
      </x:c>
      <x:c r="O216" s="17">
        <x:f>COUNTIF(D216:N216,"&lt;&gt;OK")-COUNTIF(I216,"Check Source Data")+IF(I216="Check Source Data",1,0)</x:f>
        <x:v>0</x:v>
      </x:c>
      <x:c r="P216" s="17" t="str">
        <x:f>IF(O216=0,"Clean","Error Found")</x:f>
        <x:v>Clean</x:v>
      </x:c>
      <x:c r="Q216" s="18" t="str">
        <x:f>IF(P216="Clean","No action needed","Review raw record and update Validated_Data")</x:f>
        <x:v>No action needed</x:v>
      </x:c>
    </x:row>
    <x:row r="217">
      <x:c r="A217" s="15" t="str">
        <x:f>Raw_HR_Data!A215</x:f>
        <x:v>EMP52964</x:v>
      </x:c>
      <x:c r="B217" s="16" t="str">
        <x:f>Raw_HR_Data!B215</x:f>
        <x:v>Emma Brown</x:v>
      </x:c>
      <x:c r="C217" s="16" t="str">
        <x:f>Raw_HR_Data!C215</x:f>
        <x:v>Benefits Team</x:v>
      </x:c>
      <x:c r="D217" s="17" t="str">
        <x:f>IF(COUNTIF(Raw_HR_Data!$A$2:$A$221,A217)&gt;1,"Duplicate","OK")</x:f>
        <x:v>OK</x:v>
      </x:c>
      <x:c r="E217" s="17" t="str">
        <x:f>IF(B217="","Missing Name","OK")</x:f>
        <x:v>OK</x:v>
      </x:c>
      <x:c r="F217" s="17" t="str">
        <x:f>IF(Raw_HR_Data!F215="","Missing Salary","OK")</x:f>
        <x:v>OK</x:v>
      </x:c>
      <x:c r="G217" s="17" t="str">
        <x:f>IF(AND(Raw_HR_Data!F215&lt;&gt;"",NOT(ISNUMBER(Raw_HR_Data!F215))),"Invalid Salary Type","OK")</x:f>
        <x:v>OK</x:v>
      </x:c>
      <x:c r="H217" s="17" t="str">
        <x:f>IF(Raw_HR_Data!I215&lt;0,"Invalid Deduction","OK")</x:f>
        <x:v>OK</x:v>
      </x:c>
      <x:c r="I217" s="17" t="str">
        <x:f>IF(OR(NOT(ISNUMBER(Raw_HR_Data!F215)),NOT(ISNUMBER(Raw_HR_Data!G215)),NOT(ISNUMBER(Raw_HR_Data!H215)),NOT(ISNUMBER(Raw_HR_Data!I215))),"Check Source Data",IF(Raw_HR_Data!J215=Raw_HR_Data!F215+Raw_HR_Data!G215+Raw_HR_Data!H215-Raw_HR_Data!I215,"OK","Net Pay Error"))</x:f>
        <x:v>OK</x:v>
      </x:c>
      <x:c r="J217" s="17" t="str">
        <x:f>IF(Raw_HR_Data!K215="","Missing Bank Status","OK")</x:f>
        <x:v>OK</x:v>
      </x:c>
      <x:c r="K217" s="17" t="str">
        <x:f>IF(Raw_HR_Data!L215="","Missing PAN","OK")</x:f>
        <x:v>OK</x:v>
      </x:c>
      <x:c r="L217" s="17" t="str">
        <x:f>IF(Raw_HR_Data!M215&gt;31,"Invalid Attendance","OK")</x:f>
        <x:v>OK</x:v>
      </x:c>
      <x:c r="M217" s="17" t="str">
        <x:f>IF(OR(Raw_HR_Data!N215&gt;10,Raw_HR_Data!N215&gt;Raw_HR_Data!M215),"Invalid Leave","OK")</x:f>
        <x:v>OK</x:v>
      </x:c>
      <x:c r="N217" s="17" t="str">
        <x:f>IF(OR(Raw_HR_Data!O215="Processed",Raw_HR_Data!O215="Pending",Raw_HR_Data!O215="Hold"),"OK","Invalid Payroll Status")</x:f>
        <x:v>OK</x:v>
      </x:c>
      <x:c r="O217" s="17">
        <x:f>COUNTIF(D217:N217,"&lt;&gt;OK")-COUNTIF(I217,"Check Source Data")+IF(I217="Check Source Data",1,0)</x:f>
        <x:v>0</x:v>
      </x:c>
      <x:c r="P217" s="17" t="str">
        <x:f>IF(O217=0,"Clean","Error Found")</x:f>
        <x:v>Clean</x:v>
      </x:c>
      <x:c r="Q217" s="18" t="str">
        <x:f>IF(P217="Clean","No action needed","Review raw record and update Validated_Data")</x:f>
        <x:v>No action needed</x:v>
      </x:c>
    </x:row>
    <x:row r="218">
      <x:c r="A218" s="15" t="str">
        <x:f>Raw_HR_Data!A216</x:f>
        <x:v>EMP82105</x:v>
      </x:c>
      <x:c r="B218" s="16" t="str">
        <x:f>Raw_HR_Data!B216</x:f>
        <x:v>Kavya Davis</x:v>
      </x:c>
      <x:c r="C218" s="16" t="str">
        <x:f>Raw_HR_Data!C216</x:f>
        <x:v>Audit Support</x:v>
      </x:c>
      <x:c r="D218" s="17" t="str">
        <x:f>IF(COUNTIF(Raw_HR_Data!$A$2:$A$221,A218)&gt;1,"Duplicate","OK")</x:f>
        <x:v>OK</x:v>
      </x:c>
      <x:c r="E218" s="17" t="str">
        <x:f>IF(B218="","Missing Name","OK")</x:f>
        <x:v>OK</x:v>
      </x:c>
      <x:c r="F218" s="17" t="str">
        <x:f>IF(Raw_HR_Data!F216="","Missing Salary","OK")</x:f>
        <x:v>OK</x:v>
      </x:c>
      <x:c r="G218" s="17" t="str">
        <x:f>IF(AND(Raw_HR_Data!F216&lt;&gt;"",NOT(ISNUMBER(Raw_HR_Data!F216))),"Invalid Salary Type","OK")</x:f>
        <x:v>OK</x:v>
      </x:c>
      <x:c r="H218" s="17" t="str">
        <x:f>IF(Raw_HR_Data!I216&lt;0,"Invalid Deduction","OK")</x:f>
        <x:v>OK</x:v>
      </x:c>
      <x:c r="I218" s="17" t="str">
        <x:f>IF(OR(NOT(ISNUMBER(Raw_HR_Data!F216)),NOT(ISNUMBER(Raw_HR_Data!G216)),NOT(ISNUMBER(Raw_HR_Data!H216)),NOT(ISNUMBER(Raw_HR_Data!I216))),"Check Source Data",IF(Raw_HR_Data!J216=Raw_HR_Data!F216+Raw_HR_Data!G216+Raw_HR_Data!H216-Raw_HR_Data!I216,"OK","Net Pay Error"))</x:f>
        <x:v>OK</x:v>
      </x:c>
      <x:c r="J218" s="17" t="str">
        <x:f>IF(Raw_HR_Data!K216="","Missing Bank Status","OK")</x:f>
        <x:v>OK</x:v>
      </x:c>
      <x:c r="K218" s="17" t="str">
        <x:f>IF(Raw_HR_Data!L216="","Missing PAN","OK")</x:f>
        <x:v>OK</x:v>
      </x:c>
      <x:c r="L218" s="17" t="str">
        <x:f>IF(Raw_HR_Data!M216&gt;31,"Invalid Attendance","OK")</x:f>
        <x:v>OK</x:v>
      </x:c>
      <x:c r="M218" s="17" t="str">
        <x:f>IF(OR(Raw_HR_Data!N216&gt;10,Raw_HR_Data!N216&gt;Raw_HR_Data!M216),"Invalid Leave","OK")</x:f>
        <x:v>OK</x:v>
      </x:c>
      <x:c r="N218" s="17" t="str">
        <x:f>IF(OR(Raw_HR_Data!O216="Processed",Raw_HR_Data!O216="Pending",Raw_HR_Data!O216="Hold"),"OK","Invalid Payroll Status")</x:f>
        <x:v>OK</x:v>
      </x:c>
      <x:c r="O218" s="17">
        <x:f>COUNTIF(D218:N218,"&lt;&gt;OK")-COUNTIF(I218,"Check Source Data")+IF(I218="Check Source Data",1,0)</x:f>
        <x:v>0</x:v>
      </x:c>
      <x:c r="P218" s="17" t="str">
        <x:f>IF(O218=0,"Clean","Error Found")</x:f>
        <x:v>Clean</x:v>
      </x:c>
      <x:c r="Q218" s="18" t="str">
        <x:f>IF(P218="Clean","No action needed","Review raw record and update Validated_Data")</x:f>
        <x:v>No action needed</x:v>
      </x:c>
    </x:row>
    <x:row r="219">
      <x:c r="A219" s="15" t="str">
        <x:f>Raw_HR_Data!A217</x:f>
        <x:v>EMP43924</x:v>
      </x:c>
      <x:c r="B219" s="16" t="str">
        <x:f>Raw_HR_Data!B217</x:f>
        <x:v>Ananya Anderson</x:v>
      </x:c>
      <x:c r="C219" s="16" t="str">
        <x:f>Raw_HR_Data!C217</x:f>
        <x:v>HR Shared Services</x:v>
      </x:c>
      <x:c r="D219" s="17" t="str">
        <x:f>IF(COUNTIF(Raw_HR_Data!$A$2:$A$221,A219)&gt;1,"Duplicate","OK")</x:f>
        <x:v>OK</x:v>
      </x:c>
      <x:c r="E219" s="17" t="str">
        <x:f>IF(B219="","Missing Name","OK")</x:f>
        <x:v>OK</x:v>
      </x:c>
      <x:c r="F219" s="17" t="str">
        <x:f>IF(Raw_HR_Data!F217="","Missing Salary","OK")</x:f>
        <x:v>OK</x:v>
      </x:c>
      <x:c r="G219" s="17" t="str">
        <x:f>IF(AND(Raw_HR_Data!F217&lt;&gt;"",NOT(ISNUMBER(Raw_HR_Data!F217))),"Invalid Salary Type","OK")</x:f>
        <x:v>OK</x:v>
      </x:c>
      <x:c r="H219" s="17" t="str">
        <x:f>IF(Raw_HR_Data!I217&lt;0,"Invalid Deduction","OK")</x:f>
        <x:v>OK</x:v>
      </x:c>
      <x:c r="I219" s="17" t="str">
        <x:f>IF(OR(NOT(ISNUMBER(Raw_HR_Data!F217)),NOT(ISNUMBER(Raw_HR_Data!G217)),NOT(ISNUMBER(Raw_HR_Data!H217)),NOT(ISNUMBER(Raw_HR_Data!I217))),"Check Source Data",IF(Raw_HR_Data!J217=Raw_HR_Data!F217+Raw_HR_Data!G217+Raw_HR_Data!H217-Raw_HR_Data!I217,"OK","Net Pay Error"))</x:f>
        <x:v>OK</x:v>
      </x:c>
      <x:c r="J219" s="17" t="str">
        <x:f>IF(Raw_HR_Data!K217="","Missing Bank Status","OK")</x:f>
        <x:v>OK</x:v>
      </x:c>
      <x:c r="K219" s="17" t="str">
        <x:f>IF(Raw_HR_Data!L217="","Missing PAN","OK")</x:f>
        <x:v>OK</x:v>
      </x:c>
      <x:c r="L219" s="17" t="str">
        <x:f>IF(Raw_HR_Data!M217&gt;31,"Invalid Attendance","OK")</x:f>
        <x:v>OK</x:v>
      </x:c>
      <x:c r="M219" s="17" t="str">
        <x:f>IF(OR(Raw_HR_Data!N217&gt;10,Raw_HR_Data!N217&gt;Raw_HR_Data!M217),"Invalid Leave","OK")</x:f>
        <x:v>OK</x:v>
      </x:c>
      <x:c r="N219" s="17" t="str">
        <x:f>IF(OR(Raw_HR_Data!O217="Processed",Raw_HR_Data!O217="Pending",Raw_HR_Data!O217="Hold"),"OK","Invalid Payroll Status")</x:f>
        <x:v>OK</x:v>
      </x:c>
      <x:c r="O219" s="17">
        <x:f>COUNTIF(D219:N219,"&lt;&gt;OK")-COUNTIF(I219,"Check Source Data")+IF(I219="Check Source Data",1,0)</x:f>
        <x:v>0</x:v>
      </x:c>
      <x:c r="P219" s="17" t="str">
        <x:f>IF(O219=0,"Clean","Error Found")</x:f>
        <x:v>Clean</x:v>
      </x:c>
      <x:c r="Q219" s="18" t="str">
        <x:f>IF(P219="Clean","No action needed","Review raw record and update Validated_Data")</x:f>
        <x:v>No action needed</x:v>
      </x:c>
    </x:row>
    <x:row r="220">
      <x:c r="A220" s="15" t="str">
        <x:f>Raw_HR_Data!A218</x:f>
        <x:v>EMP61773</x:v>
      </x:c>
      <x:c r="B220" s="16" t="str">
        <x:f>Raw_HR_Data!B218</x:f>
        <x:v>Charlotte Anderson</x:v>
      </x:c>
      <x:c r="C220" s="16" t="str">
        <x:f>Raw_HR_Data!C218</x:f>
        <x:v>Risk Advisory</x:v>
      </x:c>
      <x:c r="D220" s="17" t="str">
        <x:f>IF(COUNTIF(Raw_HR_Data!$A$2:$A$221,A220)&gt;1,"Duplicate","OK")</x:f>
        <x:v>OK</x:v>
      </x:c>
      <x:c r="E220" s="17" t="str">
        <x:f>IF(B220="","Missing Name","OK")</x:f>
        <x:v>OK</x:v>
      </x:c>
      <x:c r="F220" s="17" t="str">
        <x:f>IF(Raw_HR_Data!F218="","Missing Salary","OK")</x:f>
        <x:v>OK</x:v>
      </x:c>
      <x:c r="G220" s="17" t="str">
        <x:f>IF(AND(Raw_HR_Data!F218&lt;&gt;"",NOT(ISNUMBER(Raw_HR_Data!F218))),"Invalid Salary Type","OK")</x:f>
        <x:v>OK</x:v>
      </x:c>
      <x:c r="H220" s="17" t="str">
        <x:f>IF(Raw_HR_Data!I218&lt;0,"Invalid Deduction","OK")</x:f>
        <x:v>OK</x:v>
      </x:c>
      <x:c r="I220" s="17" t="str">
        <x:f>IF(OR(NOT(ISNUMBER(Raw_HR_Data!F218)),NOT(ISNUMBER(Raw_HR_Data!G218)),NOT(ISNUMBER(Raw_HR_Data!H218)),NOT(ISNUMBER(Raw_HR_Data!I218))),"Check Source Data",IF(Raw_HR_Data!J218=Raw_HR_Data!F218+Raw_HR_Data!G218+Raw_HR_Data!H218-Raw_HR_Data!I218,"OK","Net Pay Error"))</x:f>
        <x:v>OK</x:v>
      </x:c>
      <x:c r="J220" s="17" t="str">
        <x:f>IF(Raw_HR_Data!K218="","Missing Bank Status","OK")</x:f>
        <x:v>OK</x:v>
      </x:c>
      <x:c r="K220" s="17" t="str">
        <x:f>IF(Raw_HR_Data!L218="","Missing PAN","OK")</x:f>
        <x:v>OK</x:v>
      </x:c>
      <x:c r="L220" s="17" t="str">
        <x:f>IF(Raw_HR_Data!M218&gt;31,"Invalid Attendance","OK")</x:f>
        <x:v>OK</x:v>
      </x:c>
      <x:c r="M220" s="17" t="str">
        <x:f>IF(OR(Raw_HR_Data!N218&gt;10,Raw_HR_Data!N218&gt;Raw_HR_Data!M218),"Invalid Leave","OK")</x:f>
        <x:v>OK</x:v>
      </x:c>
      <x:c r="N220" s="17" t="str">
        <x:f>IF(OR(Raw_HR_Data!O218="Processed",Raw_HR_Data!O218="Pending",Raw_HR_Data!O218="Hold"),"OK","Invalid Payroll Status")</x:f>
        <x:v>OK</x:v>
      </x:c>
      <x:c r="O220" s="17">
        <x:f>COUNTIF(D220:N220,"&lt;&gt;OK")-COUNTIF(I220,"Check Source Data")+IF(I220="Check Source Data",1,0)</x:f>
        <x:v>0</x:v>
      </x:c>
      <x:c r="P220" s="17" t="str">
        <x:f>IF(O220=0,"Clean","Error Found")</x:f>
        <x:v>Clean</x:v>
      </x:c>
      <x:c r="Q220" s="18" t="str">
        <x:f>IF(P220="Clean","No action needed","Review raw record and update Validated_Data")</x:f>
        <x:v>No action needed</x:v>
      </x:c>
    </x:row>
    <x:row r="221">
      <x:c r="A221" s="15" t="str">
        <x:f>Raw_HR_Data!A219</x:f>
        <x:v>EMP94840</x:v>
      </x:c>
      <x:c r="B221" s="16" t="str">
        <x:f>Raw_HR_Data!B219</x:f>
        <x:v>Lucas Miller</x:v>
      </x:c>
      <x:c r="C221" s="16" t="str">
        <x:f>Raw_HR_Data!C219</x:f>
        <x:v>Risk Advisory</x:v>
      </x:c>
      <x:c r="D221" s="17" t="str">
        <x:f>IF(COUNTIF(Raw_HR_Data!$A$2:$A$221,A221)&gt;1,"Duplicate","OK")</x:f>
        <x:v>OK</x:v>
      </x:c>
      <x:c r="E221" s="17" t="str">
        <x:f>IF(B221="","Missing Name","OK")</x:f>
        <x:v>OK</x:v>
      </x:c>
      <x:c r="F221" s="17" t="str">
        <x:f>IF(Raw_HR_Data!F219="","Missing Salary","OK")</x:f>
        <x:v>OK</x:v>
      </x:c>
      <x:c r="G221" s="17" t="str">
        <x:f>IF(AND(Raw_HR_Data!F219&lt;&gt;"",NOT(ISNUMBER(Raw_HR_Data!F219))),"Invalid Salary Type","OK")</x:f>
        <x:v>OK</x:v>
      </x:c>
      <x:c r="H221" s="17" t="str">
        <x:f>IF(Raw_HR_Data!I219&lt;0,"Invalid Deduction","OK")</x:f>
        <x:v>OK</x:v>
      </x:c>
      <x:c r="I221" s="17" t="str">
        <x:f>IF(OR(NOT(ISNUMBER(Raw_HR_Data!F219)),NOT(ISNUMBER(Raw_HR_Data!G219)),NOT(ISNUMBER(Raw_HR_Data!H219)),NOT(ISNUMBER(Raw_HR_Data!I219))),"Check Source Data",IF(Raw_HR_Data!J219=Raw_HR_Data!F219+Raw_HR_Data!G219+Raw_HR_Data!H219-Raw_HR_Data!I219,"OK","Net Pay Error"))</x:f>
        <x:v>OK</x:v>
      </x:c>
      <x:c r="J221" s="17" t="str">
        <x:f>IF(Raw_HR_Data!K219="","Missing Bank Status","OK")</x:f>
        <x:v>OK</x:v>
      </x:c>
      <x:c r="K221" s="17" t="str">
        <x:f>IF(Raw_HR_Data!L219="","Missing PAN","OK")</x:f>
        <x:v>OK</x:v>
      </x:c>
      <x:c r="L221" s="17" t="str">
        <x:f>IF(Raw_HR_Data!M219&gt;31,"Invalid Attendance","OK")</x:f>
        <x:v>OK</x:v>
      </x:c>
      <x:c r="M221" s="17" t="str">
        <x:f>IF(OR(Raw_HR_Data!N219&gt;10,Raw_HR_Data!N219&gt;Raw_HR_Data!M219),"Invalid Leave","OK")</x:f>
        <x:v>OK</x:v>
      </x:c>
      <x:c r="N221" s="17" t="str">
        <x:f>IF(OR(Raw_HR_Data!O219="Processed",Raw_HR_Data!O219="Pending",Raw_HR_Data!O219="Hold"),"OK","Invalid Payroll Status")</x:f>
        <x:v>OK</x:v>
      </x:c>
      <x:c r="O221" s="17">
        <x:f>COUNTIF(D221:N221,"&lt;&gt;OK")-COUNTIF(I221,"Check Source Data")+IF(I221="Check Source Data",1,0)</x:f>
        <x:v>0</x:v>
      </x:c>
      <x:c r="P221" s="17" t="str">
        <x:f>IF(O221=0,"Clean","Error Found")</x:f>
        <x:v>Clean</x:v>
      </x:c>
      <x:c r="Q221" s="18" t="str">
        <x:f>IF(P221="Clean","No action needed","Review raw record and update Validated_Data")</x:f>
        <x:v>No action needed</x:v>
      </x:c>
    </x:row>
    <x:row r="222">
      <x:c r="A222" s="15" t="str">
        <x:f>Raw_HR_Data!A220</x:f>
        <x:v>EMP57069</x:v>
      </x:c>
      <x:c r="B222" s="16" t="str">
        <x:f>Raw_HR_Data!B220</x:f>
        <x:v>William Nair</x:v>
      </x:c>
      <x:c r="C222" s="16" t="str">
        <x:f>Raw_HR_Data!C220</x:f>
        <x:v>Audit Support</x:v>
      </x:c>
      <x:c r="D222" s="17" t="str">
        <x:f>IF(COUNTIF(Raw_HR_Data!$A$2:$A$221,A222)&gt;1,"Duplicate","OK")</x:f>
        <x:v>OK</x:v>
      </x:c>
      <x:c r="E222" s="17" t="str">
        <x:f>IF(B222="","Missing Name","OK")</x:f>
        <x:v>OK</x:v>
      </x:c>
      <x:c r="F222" s="17" t="str">
        <x:f>IF(Raw_HR_Data!F220="","Missing Salary","OK")</x:f>
        <x:v>OK</x:v>
      </x:c>
      <x:c r="G222" s="17" t="str">
        <x:f>IF(AND(Raw_HR_Data!F220&lt;&gt;"",NOT(ISNUMBER(Raw_HR_Data!F220))),"Invalid Salary Type","OK")</x:f>
        <x:v>OK</x:v>
      </x:c>
      <x:c r="H222" s="17" t="str">
        <x:f>IF(Raw_HR_Data!I220&lt;0,"Invalid Deduction","OK")</x:f>
        <x:v>OK</x:v>
      </x:c>
      <x:c r="I222" s="17" t="str">
        <x:f>IF(OR(NOT(ISNUMBER(Raw_HR_Data!F220)),NOT(ISNUMBER(Raw_HR_Data!G220)),NOT(ISNUMBER(Raw_HR_Data!H220)),NOT(ISNUMBER(Raw_HR_Data!I220))),"Check Source Data",IF(Raw_HR_Data!J220=Raw_HR_Data!F220+Raw_HR_Data!G220+Raw_HR_Data!H220-Raw_HR_Data!I220,"OK","Net Pay Error"))</x:f>
        <x:v>OK</x:v>
      </x:c>
      <x:c r="J222" s="17" t="str">
        <x:f>IF(Raw_HR_Data!K220="","Missing Bank Status","OK")</x:f>
        <x:v>OK</x:v>
      </x:c>
      <x:c r="K222" s="17" t="str">
        <x:f>IF(Raw_HR_Data!L220="","Missing PAN","OK")</x:f>
        <x:v>OK</x:v>
      </x:c>
      <x:c r="L222" s="17" t="str">
        <x:f>IF(Raw_HR_Data!M220&gt;31,"Invalid Attendance","OK")</x:f>
        <x:v>OK</x:v>
      </x:c>
      <x:c r="M222" s="17" t="str">
        <x:f>IF(OR(Raw_HR_Data!N220&gt;10,Raw_HR_Data!N220&gt;Raw_HR_Data!M220),"Invalid Leave","OK")</x:f>
        <x:v>OK</x:v>
      </x:c>
      <x:c r="N222" s="17" t="str">
        <x:f>IF(OR(Raw_HR_Data!O220="Processed",Raw_HR_Data!O220="Pending",Raw_HR_Data!O220="Hold"),"OK","Invalid Payroll Status")</x:f>
        <x:v>OK</x:v>
      </x:c>
      <x:c r="O222" s="17">
        <x:f>COUNTIF(D222:N222,"&lt;&gt;OK")-COUNTIF(I222,"Check Source Data")+IF(I222="Check Source Data",1,0)</x:f>
        <x:v>0</x:v>
      </x:c>
      <x:c r="P222" s="17" t="str">
        <x:f>IF(O222=0,"Clean","Error Found")</x:f>
        <x:v>Clean</x:v>
      </x:c>
      <x:c r="Q222" s="18" t="str">
        <x:f>IF(P222="Clean","No action needed","Review raw record and update Validated_Data")</x:f>
        <x:v>No action needed</x:v>
      </x:c>
    </x:row>
    <x:row r="223">
      <x:c r="A223" s="15" t="str">
        <x:f>Raw_HR_Data!A221</x:f>
        <x:v>EMP71824</x:v>
      </x:c>
      <x:c r="B223" s="16" t="str">
        <x:f>Raw_HR_Data!B221</x:f>
        <x:v>Oliver Singh</x:v>
      </x:c>
      <x:c r="C223" s="16" t="str">
        <x:f>Raw_HR_Data!C221</x:f>
        <x:v>Consulting Ops</x:v>
      </x:c>
      <x:c r="D223" s="17" t="str">
        <x:f>IF(COUNTIF(Raw_HR_Data!$A$2:$A$221,A223)&gt;1,"Duplicate","OK")</x:f>
        <x:v>OK</x:v>
      </x:c>
      <x:c r="E223" s="17" t="str">
        <x:f>IF(B223="","Missing Name","OK")</x:f>
        <x:v>OK</x:v>
      </x:c>
      <x:c r="F223" s="17" t="str">
        <x:f>IF(Raw_HR_Data!F221="","Missing Salary","OK")</x:f>
        <x:v>OK</x:v>
      </x:c>
      <x:c r="G223" s="17" t="str">
        <x:f>IF(AND(Raw_HR_Data!F221&lt;&gt;"",NOT(ISNUMBER(Raw_HR_Data!F221))),"Invalid Salary Type","OK")</x:f>
        <x:v>OK</x:v>
      </x:c>
      <x:c r="H223" s="17" t="str">
        <x:f>IF(Raw_HR_Data!I221&lt;0,"Invalid Deduction","OK")</x:f>
        <x:v>OK</x:v>
      </x:c>
      <x:c r="I223" s="17" t="str">
        <x:f>IF(OR(NOT(ISNUMBER(Raw_HR_Data!F221)),NOT(ISNUMBER(Raw_HR_Data!G221)),NOT(ISNUMBER(Raw_HR_Data!H221)),NOT(ISNUMBER(Raw_HR_Data!I221))),"Check Source Data",IF(Raw_HR_Data!J221=Raw_HR_Data!F221+Raw_HR_Data!G221+Raw_HR_Data!H221-Raw_HR_Data!I221,"OK","Net Pay Error"))</x:f>
        <x:v>OK</x:v>
      </x:c>
      <x:c r="J223" s="17" t="str">
        <x:f>IF(Raw_HR_Data!K221="","Missing Bank Status","OK")</x:f>
        <x:v>OK</x:v>
      </x:c>
      <x:c r="K223" s="17" t="str">
        <x:f>IF(Raw_HR_Data!L221="","Missing PAN","OK")</x:f>
        <x:v>OK</x:v>
      </x:c>
      <x:c r="L223" s="17" t="str">
        <x:f>IF(Raw_HR_Data!M221&gt;31,"Invalid Attendance","OK")</x:f>
        <x:v>OK</x:v>
      </x:c>
      <x:c r="M223" s="17" t="str">
        <x:f>IF(OR(Raw_HR_Data!N221&gt;10,Raw_HR_Data!N221&gt;Raw_HR_Data!M221),"Invalid Leave","OK")</x:f>
        <x:v>OK</x:v>
      </x:c>
      <x:c r="N223" s="17" t="str">
        <x:f>IF(OR(Raw_HR_Data!O221="Processed",Raw_HR_Data!O221="Pending",Raw_HR_Data!O221="Hold"),"OK","Invalid Payroll Status")</x:f>
        <x:v>OK</x:v>
      </x:c>
      <x:c r="O223" s="17">
        <x:f>COUNTIF(D223:N223,"&lt;&gt;OK")-COUNTIF(I223,"Check Source Data")+IF(I223="Check Source Data",1,0)</x:f>
        <x:v>0</x:v>
      </x:c>
      <x:c r="P223" s="17" t="str">
        <x:f>IF(O223=0,"Clean","Error Found")</x:f>
        <x:v>Clean</x:v>
      </x:c>
      <x:c r="Q223" s="18" t="str">
        <x:f>IF(P223="Clean","No action needed","Review raw record and update Validated_Data")</x:f>
        <x:v>No action needed</x:v>
      </x:c>
    </x:row>
  </x:sheetData>
  <x:mergeCells>
    <x:mergeCell ref="A1:Q1"/>
  </x:mergeCells>
  <x:conditionalFormatting sqref="D4:D223">
    <x:cfRule type="expression" dxfId="0" priority="1">
      <x:formula>D4&lt;&gt;"OK"</x:formula>
    </x:cfRule>
  </x:conditionalFormatting>
  <x:conditionalFormatting sqref="E4:E223">
    <x:cfRule type="expression" dxfId="0" priority="2">
      <x:formula>E4&lt;&gt;"OK"</x:formula>
    </x:cfRule>
  </x:conditionalFormatting>
  <x:conditionalFormatting sqref="F4:F223">
    <x:cfRule type="expression" dxfId="0" priority="3">
      <x:formula>F4&lt;&gt;"OK"</x:formula>
    </x:cfRule>
  </x:conditionalFormatting>
  <x:conditionalFormatting sqref="G4:G223">
    <x:cfRule type="expression" dxfId="0" priority="4">
      <x:formula>G4&lt;&gt;"OK"</x:formula>
    </x:cfRule>
  </x:conditionalFormatting>
  <x:conditionalFormatting sqref="H4:H223">
    <x:cfRule type="expression" dxfId="0" priority="5">
      <x:formula>H4&lt;&gt;"OK"</x:formula>
    </x:cfRule>
  </x:conditionalFormatting>
  <x:conditionalFormatting sqref="I4:I223">
    <x:cfRule type="expression" dxfId="0" priority="6">
      <x:formula>I4&lt;&gt;"OK"</x:formula>
    </x:cfRule>
  </x:conditionalFormatting>
  <x:conditionalFormatting sqref="J4:J223">
    <x:cfRule type="expression" dxfId="0" priority="7">
      <x:formula>J4&lt;&gt;"OK"</x:formula>
    </x:cfRule>
  </x:conditionalFormatting>
  <x:conditionalFormatting sqref="K4:K223">
    <x:cfRule type="expression" dxfId="0" priority="8">
      <x:formula>K4&lt;&gt;"OK"</x:formula>
    </x:cfRule>
  </x:conditionalFormatting>
  <x:conditionalFormatting sqref="L4:L223">
    <x:cfRule type="expression" dxfId="0" priority="9">
      <x:formula>L4&lt;&gt;"OK"</x:formula>
    </x:cfRule>
  </x:conditionalFormatting>
  <x:conditionalFormatting sqref="M4:M223">
    <x:cfRule type="expression" dxfId="0" priority="10">
      <x:formula>M4&lt;&gt;"OK"</x:formula>
    </x:cfRule>
  </x:conditionalFormatting>
  <x:conditionalFormatting sqref="N4:N223">
    <x:cfRule type="expression" dxfId="0" priority="11">
      <x:formula>N4&lt;&gt;"OK"</x:formula>
    </x:cfRule>
  </x:conditionalFormatting>
  <x:conditionalFormatting sqref="P4:P223">
    <x:cfRule type="expression" dxfId="2" priority="12">
      <x:formula>P4="Clean"</x:formula>
    </x:cfRule>
    <x:cfRule type="expression" dxfId="0" priority="13">
      <x:formula>P4="Error Found"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856d8e0f5d148c9"/>
  </x:tableParts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14" customWidth="1"/>
    <x:col min="2" max="2" width="22" customWidth="1"/>
    <x:col min="3" max="3" width="22" customWidth="1"/>
    <x:col min="4" max="4" width="26" customWidth="1"/>
    <x:col min="5" max="5" width="34" customWidth="1"/>
    <x:col min="6" max="6" width="20" customWidth="1"/>
    <x:col min="7" max="7" width="22" customWidth="1"/>
    <x:col min="8" max="8" width="14" customWidth="1"/>
  </x:cols>
  <x:sheetData>
    <x:row r="1" ht="34.5" customHeight="1">
      <x:c r="A1" s="2" t="inlineStr">
        <x:is>
          <x:t xml:space="preserve">Employee ID</x:t>
        </x:is>
      </x:c>
      <x:c r="B1" s="2" t="inlineStr">
        <x:is>
          <x:t xml:space="preserve">Employee Name</x:t>
        </x:is>
      </x:c>
      <x:c r="C1" s="2" t="inlineStr">
        <x:is>
          <x:t xml:space="preserve">Issue Identified</x:t>
        </x:is>
      </x:c>
      <x:c r="D1" s="2" t="inlineStr">
        <x:is>
          <x:t xml:space="preserve">Root Cause</x:t>
        </x:is>
      </x:c>
      <x:c r="E1" s="2" t="inlineStr">
        <x:is>
          <x:t xml:space="preserve">Corrective Action</x:t>
        </x:is>
      </x:c>
      <x:c r="F1" s="2" t="inlineStr">
        <x:is>
          <x:t xml:space="preserve">Status</x:t>
        </x:is>
      </x:c>
      <x:c r="G1" s="2" t="inlineStr">
        <x:is>
          <x:t xml:space="preserve">Fixed By</x:t>
        </x:is>
      </x:c>
      <x:c r="H1" s="2" t="inlineStr">
        <x:is>
          <x:t xml:space="preserve">Fix Date</x:t>
        </x:is>
      </x:c>
    </x:row>
    <x:row r="2">
      <x:c r="A2" s="15" t="inlineStr">
        <x:is>
          <x:t xml:space="preserve">EMP16019</x:t>
        </x:is>
      </x:c>
      <x:c r="B2" s="16" t="inlineStr">
        <x:is>
          <x:t xml:space="preserve">Ethan Miller</x:t>
        </x:is>
      </x:c>
      <x:c r="C2" s="20" t="inlineStr">
        <x:is>
          <x:t xml:space="preserve">Duplicate Employee ID</x:t>
        </x:is>
      </x:c>
      <x:c r="D2" s="20" t="inlineStr">
        <x:is>
          <x:t xml:space="preserve">Manual copy/data entry duplication</x:t>
        </x:is>
      </x:c>
      <x:c r="E2" s="20" t="inlineStr">
        <x:is>
          <x:t xml:space="preserve">Assigned new unique employee ID after verification</x:t>
        </x:is>
      </x:c>
      <x:c r="F2" s="21" t="inlineStr">
        <x:is>
          <x:t xml:space="preserve">Fixed</x:t>
        </x:is>
      </x:c>
      <x:c r="G2" s="22" t="inlineStr">
        <x:is>
          <x:t xml:space="preserve">Shared Services Analyst</x:t>
        </x:is>
      </x:c>
      <x:c r="H2" s="41" t="n">
        <x:v>45676</x:v>
      </x:c>
    </x:row>
    <x:row r="3">
      <x:c r="A3" s="15" t="inlineStr">
        <x:is>
          <x:t xml:space="preserve">EMP77551</x:t>
        </x:is>
      </x:c>
      <x:c r="B3" s="16" t="inlineStr">
        <x:is>
          <x:t xml:space="preserve">Amira Kumar</x:t>
        </x:is>
      </x:c>
      <x:c r="C3" s="20" t="inlineStr">
        <x:is>
          <x:t xml:space="preserve">Duplicate Employee ID</x:t>
        </x:is>
      </x:c>
      <x:c r="D3" s="20" t="inlineStr">
        <x:is>
          <x:t xml:space="preserve">Manual copy/data entry duplication</x:t>
        </x:is>
      </x:c>
      <x:c r="E3" s="20" t="inlineStr">
        <x:is>
          <x:t xml:space="preserve">Assigned new unique employee ID after verification</x:t>
        </x:is>
      </x:c>
      <x:c r="F3" s="21" t="inlineStr">
        <x:is>
          <x:t xml:space="preserve">Fixed</x:t>
        </x:is>
      </x:c>
      <x:c r="G3" s="22" t="inlineStr">
        <x:is>
          <x:t xml:space="preserve">HR Ops Analyst</x:t>
        </x:is>
      </x:c>
      <x:c r="H3" s="41" t="n">
        <x:v>45677</x:v>
      </x:c>
    </x:row>
    <x:row r="4">
      <x:c r="A4" s="15" t="inlineStr">
        <x:is>
          <x:t xml:space="preserve">EMP50730</x:t>
        </x:is>
      </x:c>
      <x:c r="B4" s="16" t="inlineStr">
        <x:is>
          <x:t xml:space="preserve">Oliver Kumar</x:t>
        </x:is>
      </x:c>
      <x:c r="C4" s="20" t="inlineStr">
        <x:is>
          <x:t xml:space="preserve">Duplicate Employee ID</x:t>
        </x:is>
      </x:c>
      <x:c r="D4" s="20" t="inlineStr">
        <x:is>
          <x:t xml:space="preserve">Manual copy/data entry duplication</x:t>
        </x:is>
      </x:c>
      <x:c r="E4" s="20" t="inlineStr">
        <x:is>
          <x:t xml:space="preserve">Assigned new unique employee ID after verification</x:t>
        </x:is>
      </x:c>
      <x:c r="F4" s="21" t="inlineStr">
        <x:is>
          <x:t xml:space="preserve">Fixed</x:t>
        </x:is>
      </x:c>
      <x:c r="G4" s="22" t="inlineStr">
        <x:is>
          <x:t xml:space="preserve">Shared Services Analyst</x:t>
        </x:is>
      </x:c>
      <x:c r="H4" s="41" t="n">
        <x:v>45676</x:v>
      </x:c>
    </x:row>
    <x:row r="5">
      <x:c r="A5" s="15" t="inlineStr">
        <x:is>
          <x:t xml:space="preserve">EMP19880</x:t>
        </x:is>
      </x:c>
      <x:c r="B5" s="16" t="inlineStr">
        <x:is>
          <x:t xml:space="preserve">Kavya Shah</x:t>
        </x:is>
      </x:c>
      <x:c r="C5" s="20" t="inlineStr">
        <x:is>
          <x:t xml:space="preserve">Duplicate Employee ID</x:t>
        </x:is>
      </x:c>
      <x:c r="D5" s="20" t="inlineStr">
        <x:is>
          <x:t xml:space="preserve">Manual copy/data entry duplication</x:t>
        </x:is>
      </x:c>
      <x:c r="E5" s="20" t="inlineStr">
        <x:is>
          <x:t xml:space="preserve">Assigned new unique employee ID after verification</x:t>
        </x:is>
      </x:c>
      <x:c r="F5" s="21" t="inlineStr">
        <x:is>
          <x:t xml:space="preserve">Fixed</x:t>
        </x:is>
      </x:c>
      <x:c r="G5" s="22" t="inlineStr">
        <x:is>
          <x:t xml:space="preserve">Shared Services Analyst</x:t>
        </x:is>
      </x:c>
      <x:c r="H5" s="41" t="n">
        <x:v>45671</x:v>
      </x:c>
    </x:row>
    <x:row r="6">
      <x:c r="A6" s="15" t="inlineStr">
        <x:is>
          <x:t xml:space="preserve">EMP78125</x:t>
        </x:is>
      </x:c>
      <x:c r="B6" s="16" t="inlineStr">
        <x:is>
          <x:t xml:space="preserve">Pooja Singh</x:t>
        </x:is>
      </x:c>
      <x:c r="C6" s="20" t="inlineStr">
        <x:is>
          <x:t xml:space="preserve">Duplicate Employee ID</x:t>
        </x:is>
      </x:c>
      <x:c r="D6" s="20" t="inlineStr">
        <x:is>
          <x:t xml:space="preserve">Manual copy/data entry duplication</x:t>
        </x:is>
      </x:c>
      <x:c r="E6" s="20" t="inlineStr">
        <x:is>
          <x:t xml:space="preserve">Assigned new unique employee ID after verification</x:t>
        </x:is>
      </x:c>
      <x:c r="F6" s="21" t="inlineStr">
        <x:is>
          <x:t xml:space="preserve">Fixed</x:t>
        </x:is>
      </x:c>
      <x:c r="G6" s="22" t="inlineStr">
        <x:is>
          <x:t xml:space="preserve">Payroll Analyst</x:t>
        </x:is>
      </x:c>
      <x:c r="H6" s="41" t="n">
        <x:v>45675</x:v>
      </x:c>
    </x:row>
    <x:row r="7">
      <x:c r="A7" s="15" t="inlineStr">
        <x:is>
          <x:t xml:space="preserve">EMP62565</x:t>
        </x:is>
      </x:c>
      <x:c r="B7" s="16" t="inlineStr">
        <x:is>
          <x:t xml:space="preserve">Updated from HR Master</x:t>
        </x:is>
      </x:c>
      <x:c r="C7" s="20" t="inlineStr">
        <x:is>
          <x:t xml:space="preserve">Missing Employee Name</x:t>
        </x:is>
      </x:c>
      <x:c r="D7" s="20" t="inlineStr">
        <x:is>
          <x:t xml:space="preserve">Incomplete employee master record</x:t>
        </x:is>
      </x:c>
      <x:c r="E7" s="20" t="inlineStr">
        <x:is>
          <x:t xml:space="preserve">Queued for payroll team review</x:t>
        </x:is>
      </x:c>
      <x:c r="F7" s="24" t="inlineStr">
        <x:is>
          <x:t xml:space="preserve">Pending Review</x:t>
        </x:is>
      </x:c>
      <x:c r="G7" s="22" t="inlineStr">
        <x:is>
          <x:t xml:space="preserve">Kiran Kumar</x:t>
        </x:is>
      </x:c>
      <x:c r="H7" s="22" t="n"/>
    </x:row>
    <x:row r="8">
      <x:c r="A8" s="15" t="inlineStr">
        <x:is>
          <x:t xml:space="preserve">EMP28035</x:t>
        </x:is>
      </x:c>
      <x:c r="B8" s="16" t="inlineStr">
        <x:is>
          <x:t xml:space="preserve">Updated from HR Master</x:t>
        </x:is>
      </x:c>
      <x:c r="C8" s="20" t="inlineStr">
        <x:is>
          <x:t xml:space="preserve">Missing Employee Name</x:t>
        </x:is>
      </x:c>
      <x:c r="D8" s="20" t="inlineStr">
        <x:is>
          <x:t xml:space="preserve">Incomplete employee master record</x:t>
        </x:is>
      </x:c>
      <x:c r="E8" s="20" t="inlineStr">
        <x:is>
          <x:t xml:space="preserve">Updated employee name from HR master data</x:t>
        </x:is>
      </x:c>
      <x:c r="F8" s="21" t="inlineStr">
        <x:is>
          <x:t xml:space="preserve">Fixed</x:t>
        </x:is>
      </x:c>
      <x:c r="G8" s="22" t="inlineStr">
        <x:is>
          <x:t xml:space="preserve">Payroll Analyst</x:t>
        </x:is>
      </x:c>
      <x:c r="H8" s="41" t="n">
        <x:v>45676</x:v>
      </x:c>
    </x:row>
    <x:row r="9">
      <x:c r="A9" s="15" t="inlineStr">
        <x:is>
          <x:t xml:space="preserve">EMP34267</x:t>
        </x:is>
      </x:c>
      <x:c r="B9" s="16" t="inlineStr">
        <x:is>
          <x:t xml:space="preserve">Updated from HR Master</x:t>
        </x:is>
      </x:c>
      <x:c r="C9" s="20" t="inlineStr">
        <x:is>
          <x:t xml:space="preserve">Missing Employee Name</x:t>
        </x:is>
      </x:c>
      <x:c r="D9" s="20" t="inlineStr">
        <x:is>
          <x:t xml:space="preserve">Incomplete employee master record</x:t>
        </x:is>
      </x:c>
      <x:c r="E9" s="20" t="inlineStr">
        <x:is>
          <x:t xml:space="preserve">Updated employee name from HR master data</x:t>
        </x:is>
      </x:c>
      <x:c r="F9" s="21" t="inlineStr">
        <x:is>
          <x:t xml:space="preserve">Fixed</x:t>
        </x:is>
      </x:c>
      <x:c r="G9" s="22" t="inlineStr">
        <x:is>
          <x:t xml:space="preserve">Shared Services Analyst</x:t>
        </x:is>
      </x:c>
      <x:c r="H9" s="41" t="n">
        <x:v>45680</x:v>
      </x:c>
    </x:row>
    <x:row r="10">
      <x:c r="A10" s="15" t="inlineStr">
        <x:is>
          <x:t xml:space="preserve">EMP48684</x:t>
        </x:is>
      </x:c>
      <x:c r="B10" s="16" t="inlineStr">
        <x:is>
          <x:t xml:space="preserve">Updated from HR Master</x:t>
        </x:is>
      </x:c>
      <x:c r="C10" s="20" t="inlineStr">
        <x:is>
          <x:t xml:space="preserve">Missing Employee Name</x:t>
        </x:is>
      </x:c>
      <x:c r="D10" s="20" t="inlineStr">
        <x:is>
          <x:t xml:space="preserve">Incomplete employee master record</x:t>
        </x:is>
      </x:c>
      <x:c r="E10" s="20" t="inlineStr">
        <x:is>
          <x:t xml:space="preserve">Awaiting manager confirmation before update</x:t>
        </x:is>
      </x:c>
      <x:c r="F10" s="24" t="inlineStr">
        <x:is>
          <x:t xml:space="preserve">Pending Review</x:t>
        </x:is>
      </x:c>
      <x:c r="G10" s="22" t="inlineStr">
        <x:is>
          <x:t xml:space="preserve">HR Ops Analyst</x:t>
        </x:is>
      </x:c>
      <x:c r="H10" s="22" t="n"/>
    </x:row>
    <x:row r="11">
      <x:c r="A11" s="15" t="inlineStr">
        <x:is>
          <x:t xml:space="preserve">EMP64548</x:t>
        </x:is>
      </x:c>
      <x:c r="B11" s="16" t="inlineStr">
        <x:is>
          <x:t xml:space="preserve">James Singh</x:t>
        </x:is>
      </x:c>
      <x:c r="C11" s="20" t="inlineStr">
        <x:is>
          <x:t xml:space="preserve">Missing Basic Salary</x:t>
        </x:is>
      </x:c>
      <x:c r="D11" s="20" t="inlineStr">
        <x:is>
          <x:t xml:space="preserve">Payroll input missing for current month</x:t>
        </x:is>
      </x:c>
      <x:c r="E11" s="20" t="inlineStr">
        <x:is>
          <x:t xml:space="preserve">Updated missing salary from compensation sheet</x:t>
        </x:is>
      </x:c>
      <x:c r="F11" s="21" t="inlineStr">
        <x:is>
          <x:t xml:space="preserve">Fixed</x:t>
        </x:is>
      </x:c>
      <x:c r="G11" s="22" t="inlineStr">
        <x:is>
          <x:t xml:space="preserve">HR Ops Analyst</x:t>
        </x:is>
      </x:c>
      <x:c r="H11" s="41" t="n">
        <x:v>45666</x:v>
      </x:c>
    </x:row>
    <x:row r="12">
      <x:c r="A12" s="15" t="inlineStr">
        <x:is>
          <x:t xml:space="preserve">EMP41278</x:t>
        </x:is>
      </x:c>
      <x:c r="B12" s="16" t="inlineStr">
        <x:is>
          <x:t xml:space="preserve">Amira Iyer</x:t>
        </x:is>
      </x:c>
      <x:c r="C12" s="20" t="inlineStr">
        <x:is>
          <x:t xml:space="preserve">Missing Basic Salary</x:t>
        </x:is>
      </x:c>
      <x:c r="D12" s="20" t="inlineStr">
        <x:is>
          <x:t xml:space="preserve">Payroll input missing for current month</x:t>
        </x:is>
      </x:c>
      <x:c r="E12" s="20" t="inlineStr">
        <x:is>
          <x:t xml:space="preserve">Updated missing salary from compensation sheet</x:t>
        </x:is>
      </x:c>
      <x:c r="F12" s="21" t="inlineStr">
        <x:is>
          <x:t xml:space="preserve">Fixed</x:t>
        </x:is>
      </x:c>
      <x:c r="G12" s="22" t="inlineStr">
        <x:is>
          <x:t xml:space="preserve">HR Ops Analyst</x:t>
        </x:is>
      </x:c>
      <x:c r="H12" s="41" t="n">
        <x:v>45668</x:v>
      </x:c>
    </x:row>
    <x:row r="13">
      <x:c r="A13" s="15" t="inlineStr">
        <x:is>
          <x:t xml:space="preserve">EMP13390</x:t>
        </x:is>
      </x:c>
      <x:c r="B13" s="16" t="inlineStr">
        <x:is>
          <x:t xml:space="preserve">Arjun Iyer</x:t>
        </x:is>
      </x:c>
      <x:c r="C13" s="20" t="inlineStr">
        <x:is>
          <x:t xml:space="preserve">Missing Basic Salary</x:t>
        </x:is>
      </x:c>
      <x:c r="D13" s="20" t="inlineStr">
        <x:is>
          <x:t xml:space="preserve">Payroll input missing for current month</x:t>
        </x:is>
      </x:c>
      <x:c r="E13" s="20" t="inlineStr">
        <x:is>
          <x:t xml:space="preserve">Updated missing salary from compensation sheet</x:t>
        </x:is>
      </x:c>
      <x:c r="F13" s="21" t="inlineStr">
        <x:is>
          <x:t xml:space="preserve">Fixed</x:t>
        </x:is>
      </x:c>
      <x:c r="G13" s="22" t="inlineStr">
        <x:is>
          <x:t xml:space="preserve">Kiran Kumar</x:t>
        </x:is>
      </x:c>
      <x:c r="H13" s="41" t="n">
        <x:v>45671</x:v>
      </x:c>
    </x:row>
    <x:row r="14">
      <x:c r="A14" s="15" t="inlineStr">
        <x:is>
          <x:t xml:space="preserve">EMP62187</x:t>
        </x:is>
      </x:c>
      <x:c r="B14" s="16" t="inlineStr">
        <x:is>
          <x:t xml:space="preserve">William Moore</x:t>
        </x:is>
      </x:c>
      <x:c r="C14" s="20" t="inlineStr">
        <x:is>
          <x:t xml:space="preserve">Missing Basic Salary</x:t>
        </x:is>
      </x:c>
      <x:c r="D14" s="20" t="inlineStr">
        <x:is>
          <x:t xml:space="preserve">Payroll input missing for current month</x:t>
        </x:is>
      </x:c>
      <x:c r="E14" s="20" t="inlineStr">
        <x:is>
          <x:t xml:space="preserve">Awaiting manager confirmation before update</x:t>
        </x:is>
      </x:c>
      <x:c r="F14" s="24" t="inlineStr">
        <x:is>
          <x:t xml:space="preserve">Pending Review</x:t>
        </x:is>
      </x:c>
      <x:c r="G14" s="22" t="inlineStr">
        <x:is>
          <x:t xml:space="preserve">Shared Services Analyst</x:t>
        </x:is>
      </x:c>
      <x:c r="H14" s="22" t="n"/>
    </x:row>
    <x:row r="15">
      <x:c r="A15" s="15" t="inlineStr">
        <x:is>
          <x:t xml:space="preserve">EMP78125</x:t>
        </x:is>
      </x:c>
      <x:c r="B15" s="16" t="inlineStr">
        <x:is>
          <x:t xml:space="preserve">Rohan Shah</x:t>
        </x:is>
      </x:c>
      <x:c r="C15" s="20" t="inlineStr">
        <x:is>
          <x:t xml:space="preserve">Invalid Salary Type</x:t>
        </x:is>
      </x:c>
      <x:c r="D15" s="20" t="inlineStr">
        <x:is>
          <x:t xml:space="preserve">Text entered in numeric salary field</x:t>
        </x:is>
      </x:c>
      <x:c r="E15" s="20" t="inlineStr">
        <x:is>
          <x:t xml:space="preserve">Replaced text value with approved salary amount</x:t>
        </x:is>
      </x:c>
      <x:c r="F15" s="21" t="inlineStr">
        <x:is>
          <x:t xml:space="preserve">Fixed</x:t>
        </x:is>
      </x:c>
      <x:c r="G15" s="22" t="inlineStr">
        <x:is>
          <x:t xml:space="preserve">Kiran Kumar</x:t>
        </x:is>
      </x:c>
      <x:c r="H15" s="41" t="n">
        <x:v>45675</x:v>
      </x:c>
    </x:row>
    <x:row r="16">
      <x:c r="A16" s="15" t="inlineStr">
        <x:is>
          <x:t xml:space="preserve">EMP74004</x:t>
        </x:is>
      </x:c>
      <x:c r="B16" s="16" t="inlineStr">
        <x:is>
          <x:t xml:space="preserve">Fatima White</x:t>
        </x:is>
      </x:c>
      <x:c r="C16" s="20" t="inlineStr">
        <x:is>
          <x:t xml:space="preserve">Invalid Salary Type</x:t>
        </x:is>
      </x:c>
      <x:c r="D16" s="20" t="inlineStr">
        <x:is>
          <x:t xml:space="preserve">Text entered in numeric salary field</x:t>
        </x:is>
      </x:c>
      <x:c r="E16" s="20" t="inlineStr">
        <x:is>
          <x:t xml:space="preserve">Replaced text value with approved salary amount</x:t>
        </x:is>
      </x:c>
      <x:c r="F16" s="21" t="inlineStr">
        <x:is>
          <x:t xml:space="preserve">Fixed</x:t>
        </x:is>
      </x:c>
      <x:c r="G16" s="22" t="inlineStr">
        <x:is>
          <x:t xml:space="preserve">Payroll Analyst</x:t>
        </x:is>
      </x:c>
      <x:c r="H16" s="41" t="n">
        <x:v>45680</x:v>
      </x:c>
    </x:row>
    <x:row r="17">
      <x:c r="A17" s="15" t="inlineStr">
        <x:is>
          <x:t xml:space="preserve">EMP46349</x:t>
        </x:is>
      </x:c>
      <x:c r="B17" s="16" t="inlineStr">
        <x:is>
          <x:t xml:space="preserve">Divya Shah</x:t>
        </x:is>
      </x:c>
      <x:c r="C17" s="20" t="inlineStr">
        <x:is>
          <x:t xml:space="preserve">Invalid Salary Type</x:t>
        </x:is>
      </x:c>
      <x:c r="D17" s="20" t="inlineStr">
        <x:is>
          <x:t xml:space="preserve">Text entered in numeric salary field</x:t>
        </x:is>
      </x:c>
      <x:c r="E17" s="20" t="inlineStr">
        <x:is>
          <x:t xml:space="preserve">Replaced text value with approved salary amount</x:t>
        </x:is>
      </x:c>
      <x:c r="F17" s="21" t="inlineStr">
        <x:is>
          <x:t xml:space="preserve">Fixed</x:t>
        </x:is>
      </x:c>
      <x:c r="G17" s="22" t="inlineStr">
        <x:is>
          <x:t xml:space="preserve">HR Ops Analyst</x:t>
        </x:is>
      </x:c>
      <x:c r="H17" s="41" t="n">
        <x:v>45662</x:v>
      </x:c>
    </x:row>
    <x:row r="18">
      <x:c r="A18" s="15" t="inlineStr">
        <x:is>
          <x:t xml:space="preserve">EMP15551</x:t>
        </x:is>
      </x:c>
      <x:c r="B18" s="16" t="inlineStr">
        <x:is>
          <x:t xml:space="preserve">Oliver Pillai</x:t>
        </x:is>
      </x:c>
      <x:c r="C18" s="20" t="inlineStr">
        <x:is>
          <x:t xml:space="preserve">Negative Deductions</x:t>
        </x:is>
      </x:c>
      <x:c r="D18" s="20" t="inlineStr">
        <x:is>
          <x:t xml:space="preserve">Incorrect sign used during data entry</x:t>
        </x:is>
      </x:c>
      <x:c r="E18" s="20" t="inlineStr">
        <x:is>
          <x:t xml:space="preserve">Corrected deduction amount and payroll calculation</x:t>
        </x:is>
      </x:c>
      <x:c r="F18" s="21" t="inlineStr">
        <x:is>
          <x:t xml:space="preserve">Fixed</x:t>
        </x:is>
      </x:c>
      <x:c r="G18" s="22" t="inlineStr">
        <x:is>
          <x:t xml:space="preserve">Payroll Analyst</x:t>
        </x:is>
      </x:c>
      <x:c r="H18" s="41" t="n">
        <x:v>45673</x:v>
      </x:c>
    </x:row>
    <x:row r="19">
      <x:c r="A19" s="15" t="inlineStr">
        <x:is>
          <x:t xml:space="preserve">EMP40771</x:t>
        </x:is>
      </x:c>
      <x:c r="B19" s="16" t="inlineStr">
        <x:is>
          <x:t xml:space="preserve">Lucas Iyer</x:t>
        </x:is>
      </x:c>
      <x:c r="C19" s="20" t="inlineStr">
        <x:is>
          <x:t xml:space="preserve">Negative Deductions</x:t>
        </x:is>
      </x:c>
      <x:c r="D19" s="20" t="inlineStr">
        <x:is>
          <x:t xml:space="preserve">Incorrect sign used during data entry</x:t>
        </x:is>
      </x:c>
      <x:c r="E19" s="20" t="inlineStr">
        <x:is>
          <x:t xml:space="preserve">Awaiting HR operations approval</x:t>
        </x:is>
      </x:c>
      <x:c r="F19" s="24" t="inlineStr">
        <x:is>
          <x:t xml:space="preserve">Pending Verification</x:t>
        </x:is>
      </x:c>
      <x:c r="G19" s="22" t="inlineStr">
        <x:is>
          <x:t xml:space="preserve">Shared Services Analyst</x:t>
        </x:is>
      </x:c>
      <x:c r="H19" s="22" t="n"/>
    </x:row>
    <x:row r="20">
      <x:c r="A20" s="15" t="inlineStr">
        <x:is>
          <x:t xml:space="preserve">EMP41566</x:t>
        </x:is>
      </x:c>
      <x:c r="B20" s="16" t="inlineStr">
        <x:is>
          <x:t xml:space="preserve">Charlotte White</x:t>
        </x:is>
      </x:c>
      <x:c r="C20" s="20" t="inlineStr">
        <x:is>
          <x:t xml:space="preserve">Negative Deductions</x:t>
        </x:is>
      </x:c>
      <x:c r="D20" s="20" t="inlineStr">
        <x:is>
          <x:t xml:space="preserve">Incorrect sign used during data entry</x:t>
        </x:is>
      </x:c>
      <x:c r="E20" s="20" t="inlineStr">
        <x:is>
          <x:t xml:space="preserve">Corrected deduction amount and payroll calculation</x:t>
        </x:is>
      </x:c>
      <x:c r="F20" s="21" t="inlineStr">
        <x:is>
          <x:t xml:space="preserve">Fixed</x:t>
        </x:is>
      </x:c>
      <x:c r="G20" s="22" t="inlineStr">
        <x:is>
          <x:t xml:space="preserve">Kiran Kumar</x:t>
        </x:is>
      </x:c>
      <x:c r="H20" s="41" t="n">
        <x:v>45665</x:v>
      </x:c>
    </x:row>
    <x:row r="21">
      <x:c r="A21" s="15" t="inlineStr">
        <x:is>
          <x:t xml:space="preserve">EMP94656</x:t>
        </x:is>
      </x:c>
      <x:c r="B21" s="16" t="inlineStr">
        <x:is>
          <x:t xml:space="preserve">Rohan Kumar</x:t>
        </x:is>
      </x:c>
      <x:c r="C21" s="20" t="inlineStr">
        <x:is>
          <x:t xml:space="preserve">Negative Deductions</x:t>
        </x:is>
      </x:c>
      <x:c r="D21" s="20" t="inlineStr">
        <x:is>
          <x:t xml:space="preserve">Incorrect sign used during data entry</x:t>
        </x:is>
      </x:c>
      <x:c r="E21" s="20" t="inlineStr">
        <x:is>
          <x:t xml:space="preserve">Queued for payroll team review</x:t>
        </x:is>
      </x:c>
      <x:c r="F21" s="24" t="inlineStr">
        <x:is>
          <x:t xml:space="preserve">Pending Review</x:t>
        </x:is>
      </x:c>
      <x:c r="G21" s="22" t="inlineStr">
        <x:is>
          <x:t xml:space="preserve">Payroll Analyst</x:t>
        </x:is>
      </x:c>
      <x:c r="H21" s="22" t="n"/>
    </x:row>
    <x:row r="22">
      <x:c r="A22" s="15" t="inlineStr">
        <x:is>
          <x:t xml:space="preserve">EMP42208</x:t>
        </x:is>
      </x:c>
      <x:c r="B22" s="16" t="inlineStr">
        <x:is>
          <x:t xml:space="preserve">Charlotte Nair</x:t>
        </x:is>
      </x:c>
      <x:c r="C22" s="20" t="inlineStr">
        <x:is>
          <x:t xml:space="preserve">Net Pay Error</x:t>
        </x:is>
      </x:c>
      <x:c r="D22" s="20" t="inlineStr">
        <x:is>
          <x:t xml:space="preserve">Formula mismatch in payroll file</x:t>
        </x:is>
      </x:c>
      <x:c r="E22" s="20" t="inlineStr">
        <x:is>
          <x:t xml:space="preserve">Awaiting HR operations approval</x:t>
        </x:is>
      </x:c>
      <x:c r="F22" s="24" t="inlineStr">
        <x:is>
          <x:t xml:space="preserve">Pending Verification</x:t>
        </x:is>
      </x:c>
      <x:c r="G22" s="22" t="inlineStr">
        <x:is>
          <x:t xml:space="preserve">HR Ops Analyst</x:t>
        </x:is>
      </x:c>
      <x:c r="H22" s="22" t="n"/>
    </x:row>
    <x:row r="23">
      <x:c r="A23" s="15" t="inlineStr">
        <x:is>
          <x:t xml:space="preserve">EMP52753</x:t>
        </x:is>
      </x:c>
      <x:c r="B23" s="16" t="inlineStr">
        <x:is>
          <x:t xml:space="preserve">Ravi Shah</x:t>
        </x:is>
      </x:c>
      <x:c r="C23" s="20" t="inlineStr">
        <x:is>
          <x:t xml:space="preserve">Net Pay Error</x:t>
        </x:is>
      </x:c>
      <x:c r="D23" s="20" t="inlineStr">
        <x:is>
          <x:t xml:space="preserve">Formula mismatch in payroll file</x:t>
        </x:is>
      </x:c>
      <x:c r="E23" s="20" t="inlineStr">
        <x:is>
          <x:t xml:space="preserve">Recalculated net pay using salary components</x:t>
        </x:is>
      </x:c>
      <x:c r="F23" s="21" t="inlineStr">
        <x:is>
          <x:t xml:space="preserve">Fixed</x:t>
        </x:is>
      </x:c>
      <x:c r="G23" s="22" t="inlineStr">
        <x:is>
          <x:t xml:space="preserve">Shared Services Analyst</x:t>
        </x:is>
      </x:c>
      <x:c r="H23" s="41" t="n">
        <x:v>45665</x:v>
      </x:c>
    </x:row>
    <x:row r="24">
      <x:c r="A24" s="15" t="inlineStr">
        <x:is>
          <x:t xml:space="preserve">EMP17665</x:t>
        </x:is>
      </x:c>
      <x:c r="B24" s="16" t="inlineStr">
        <x:is>
          <x:t xml:space="preserve">Amira Sharma</x:t>
        </x:is>
      </x:c>
      <x:c r="C24" s="20" t="inlineStr">
        <x:is>
          <x:t xml:space="preserve">Net Pay Error</x:t>
        </x:is>
      </x:c>
      <x:c r="D24" s="20" t="inlineStr">
        <x:is>
          <x:t xml:space="preserve">Formula mismatch in payroll file</x:t>
        </x:is>
      </x:c>
      <x:c r="E24" s="20" t="inlineStr">
        <x:is>
          <x:t xml:space="preserve">Recalculated net pay using salary components</x:t>
        </x:is>
      </x:c>
      <x:c r="F24" s="21" t="inlineStr">
        <x:is>
          <x:t xml:space="preserve">Fixed</x:t>
        </x:is>
      </x:c>
      <x:c r="G24" s="22" t="inlineStr">
        <x:is>
          <x:t xml:space="preserve">Payroll Analyst</x:t>
        </x:is>
      </x:c>
      <x:c r="H24" s="41" t="n">
        <x:v>45678</x:v>
      </x:c>
    </x:row>
    <x:row r="25">
      <x:c r="A25" s="15" t="inlineStr">
        <x:is>
          <x:t xml:space="preserve">EMP40689</x:t>
        </x:is>
      </x:c>
      <x:c r="B25" s="16" t="inlineStr">
        <x:is>
          <x:t xml:space="preserve">Sneha Rao</x:t>
        </x:is>
      </x:c>
      <x:c r="C25" s="20" t="inlineStr">
        <x:is>
          <x:t xml:space="preserve">Net Pay Error</x:t>
        </x:is>
      </x:c>
      <x:c r="D25" s="20" t="inlineStr">
        <x:is>
          <x:t xml:space="preserve">Formula mismatch in payroll file</x:t>
        </x:is>
      </x:c>
      <x:c r="E25" s="20" t="inlineStr">
        <x:is>
          <x:t xml:space="preserve">Recalculated net pay using salary components</x:t>
        </x:is>
      </x:c>
      <x:c r="F25" s="21" t="inlineStr">
        <x:is>
          <x:t xml:space="preserve">Fixed</x:t>
        </x:is>
      </x:c>
      <x:c r="G25" s="22" t="inlineStr">
        <x:is>
          <x:t xml:space="preserve">Payroll Analyst</x:t>
        </x:is>
      </x:c>
      <x:c r="H25" s="41" t="n">
        <x:v>45669</x:v>
      </x:c>
    </x:row>
    <x:row r="26">
      <x:c r="A26" s="15" t="inlineStr">
        <x:is>
          <x:t xml:space="preserve">EMP83233</x:t>
        </x:is>
      </x:c>
      <x:c r="B26" s="16" t="inlineStr">
        <x:is>
          <x:t xml:space="preserve">Oliver Brown</x:t>
        </x:is>
      </x:c>
      <x:c r="C26" s="20" t="inlineStr">
        <x:is>
          <x:t xml:space="preserve">Net Pay Error</x:t>
        </x:is>
      </x:c>
      <x:c r="D26" s="20" t="inlineStr">
        <x:is>
          <x:t xml:space="preserve">Formula mismatch in payroll file</x:t>
        </x:is>
      </x:c>
      <x:c r="E26" s="20" t="inlineStr">
        <x:is>
          <x:t xml:space="preserve">Recalculated net pay using salary components</x:t>
        </x:is>
      </x:c>
      <x:c r="F26" s="21" t="inlineStr">
        <x:is>
          <x:t xml:space="preserve">Fixed</x:t>
        </x:is>
      </x:c>
      <x:c r="G26" s="22" t="inlineStr">
        <x:is>
          <x:t xml:space="preserve">HR Ops Analyst</x:t>
        </x:is>
      </x:c>
      <x:c r="H26" s="41" t="n">
        <x:v>45661</x:v>
      </x:c>
    </x:row>
    <x:row r="27">
      <x:c r="A27" s="15" t="inlineStr">
        <x:is>
          <x:t xml:space="preserve">EMP20336</x:t>
        </x:is>
      </x:c>
      <x:c r="B27" s="16" t="inlineStr">
        <x:is>
          <x:t xml:space="preserve">Kiran Harris</x:t>
        </x:is>
      </x:c>
      <x:c r="C27" s="20" t="inlineStr">
        <x:is>
          <x:t xml:space="preserve">Net Pay Error</x:t>
        </x:is>
      </x:c>
      <x:c r="D27" s="20" t="inlineStr">
        <x:is>
          <x:t xml:space="preserve">Formula mismatch in payroll file</x:t>
        </x:is>
      </x:c>
      <x:c r="E27" s="20" t="inlineStr">
        <x:is>
          <x:t xml:space="preserve">Recalculated net pay using salary components</x:t>
        </x:is>
      </x:c>
      <x:c r="F27" s="21" t="inlineStr">
        <x:is>
          <x:t xml:space="preserve">Fixed</x:t>
        </x:is>
      </x:c>
      <x:c r="G27" s="22" t="inlineStr">
        <x:is>
          <x:t xml:space="preserve">Payroll Analyst</x:t>
        </x:is>
      </x:c>
      <x:c r="H27" s="41" t="n">
        <x:v>45676</x:v>
      </x:c>
    </x:row>
    <x:row r="28">
      <x:c r="A28" s="15" t="inlineStr">
        <x:is>
          <x:t xml:space="preserve">EMP80329</x:t>
        </x:is>
      </x:c>
      <x:c r="B28" s="16" t="inlineStr">
        <x:is>
          <x:t xml:space="preserve">Deepika Mehta</x:t>
        </x:is>
      </x:c>
      <x:c r="C28" s="20" t="inlineStr">
        <x:is>
          <x:t xml:space="preserve">Missing Bank Account Status</x:t>
        </x:is>
      </x:c>
      <x:c r="D28" s="20" t="inlineStr">
        <x:is>
          <x:t xml:space="preserve">Bank verification field left blank</x:t>
        </x:is>
      </x:c>
      <x:c r="E28" s="20" t="inlineStr">
        <x:is>
          <x:t xml:space="preserve">Pending supporting document submission</x:t>
        </x:is>
      </x:c>
      <x:c r="F28" s="24" t="inlineStr">
        <x:is>
          <x:t xml:space="preserve">Pending Review</x:t>
        </x:is>
      </x:c>
      <x:c r="G28" s="22" t="inlineStr">
        <x:is>
          <x:t xml:space="preserve">Kiran Kumar</x:t>
        </x:is>
      </x:c>
      <x:c r="H28" s="22" t="n"/>
    </x:row>
    <x:row r="29">
      <x:c r="A29" s="15" t="inlineStr">
        <x:is>
          <x:t xml:space="preserve">EMP41519</x:t>
        </x:is>
      </x:c>
      <x:c r="B29" s="16" t="inlineStr">
        <x:is>
          <x:t xml:space="preserve">Priya Reddy</x:t>
        </x:is>
      </x:c>
      <x:c r="C29" s="20" t="inlineStr">
        <x:is>
          <x:t xml:space="preserve">Missing Bank Account Status</x:t>
        </x:is>
      </x:c>
      <x:c r="D29" s="20" t="inlineStr">
        <x:is>
          <x:t xml:space="preserve">Bank verification field left blank</x:t>
        </x:is>
      </x:c>
      <x:c r="E29" s="20" t="inlineStr">
        <x:is>
          <x:t xml:space="preserve">Updated bank account verification status</x:t>
        </x:is>
      </x:c>
      <x:c r="F29" s="21" t="inlineStr">
        <x:is>
          <x:t xml:space="preserve">Fixed</x:t>
        </x:is>
      </x:c>
      <x:c r="G29" s="22" t="inlineStr">
        <x:is>
          <x:t xml:space="preserve">Shared Services Analyst</x:t>
        </x:is>
      </x:c>
      <x:c r="H29" s="41" t="n">
        <x:v>45676</x:v>
      </x:c>
    </x:row>
    <x:row r="30">
      <x:c r="A30" s="15" t="inlineStr">
        <x:is>
          <x:t xml:space="preserve">EMP11257</x:t>
        </x:is>
      </x:c>
      <x:c r="B30" s="16" t="inlineStr">
        <x:is>
          <x:t xml:space="preserve">Noah Anderson</x:t>
        </x:is>
      </x:c>
      <x:c r="C30" s="20" t="inlineStr">
        <x:is>
          <x:t xml:space="preserve">Missing Bank Account Status</x:t>
        </x:is>
      </x:c>
      <x:c r="D30" s="20" t="inlineStr">
        <x:is>
          <x:t xml:space="preserve">Bank verification field left blank</x:t>
        </x:is>
      </x:c>
      <x:c r="E30" s="20" t="inlineStr">
        <x:is>
          <x:t xml:space="preserve">Queued for payroll team review</x:t>
        </x:is>
      </x:c>
      <x:c r="F30" s="24" t="inlineStr">
        <x:is>
          <x:t xml:space="preserve">Pending Review</x:t>
        </x:is>
      </x:c>
      <x:c r="G30" s="22" t="inlineStr">
        <x:is>
          <x:t xml:space="preserve">HR Ops Analyst</x:t>
        </x:is>
      </x:c>
      <x:c r="H30" s="22" t="n"/>
    </x:row>
    <x:row r="31">
      <x:c r="A31" s="15" t="inlineStr">
        <x:is>
          <x:t xml:space="preserve">EMP76287</x:t>
        </x:is>
      </x:c>
      <x:c r="B31" s="16" t="inlineStr">
        <x:is>
          <x:t xml:space="preserve">Vikram Kumar</x:t>
        </x:is>
      </x:c>
      <x:c r="C31" s="20" t="inlineStr">
        <x:is>
          <x:t xml:space="preserve">Missing PAN Status</x:t>
        </x:is>
      </x:c>
      <x:c r="D31" s="20" t="inlineStr">
        <x:is>
          <x:t xml:space="preserve">KYC field not updated</x:t>
        </x:is>
      </x:c>
      <x:c r="E31" s="20" t="inlineStr">
        <x:is>
          <x:t xml:space="preserve">Marked PAN verification status after document check</x:t>
        </x:is>
      </x:c>
      <x:c r="F31" s="21" t="inlineStr">
        <x:is>
          <x:t xml:space="preserve">Fixed</x:t>
        </x:is>
      </x:c>
      <x:c r="G31" s="22" t="inlineStr">
        <x:is>
          <x:t xml:space="preserve">HR Ops Analyst</x:t>
        </x:is>
      </x:c>
      <x:c r="H31" s="41" t="n">
        <x:v>45667</x:v>
      </x:c>
    </x:row>
    <x:row r="32">
      <x:c r="A32" s="15" t="inlineStr">
        <x:is>
          <x:t xml:space="preserve">EMP47101</x:t>
        </x:is>
      </x:c>
      <x:c r="B32" s="16" t="inlineStr">
        <x:is>
          <x:t xml:space="preserve">Priya Mehta</x:t>
        </x:is>
      </x:c>
      <x:c r="C32" s="20" t="inlineStr">
        <x:is>
          <x:t xml:space="preserve">Missing PAN Status</x:t>
        </x:is>
      </x:c>
      <x:c r="D32" s="20" t="inlineStr">
        <x:is>
          <x:t xml:space="preserve">KYC field not updated</x:t>
        </x:is>
      </x:c>
      <x:c r="E32" s="20" t="inlineStr">
        <x:is>
          <x:t xml:space="preserve">Marked PAN verification status after document check</x:t>
        </x:is>
      </x:c>
      <x:c r="F32" s="21" t="inlineStr">
        <x:is>
          <x:t xml:space="preserve">Fixed</x:t>
        </x:is>
      </x:c>
      <x:c r="G32" s="22" t="inlineStr">
        <x:is>
          <x:t xml:space="preserve">HR Ops Analyst</x:t>
        </x:is>
      </x:c>
      <x:c r="H32" s="41" t="n">
        <x:v>45675</x:v>
      </x:c>
    </x:row>
    <x:row r="33">
      <x:c r="A33" s="15" t="inlineStr">
        <x:is>
          <x:t xml:space="preserve">EMP36724</x:t>
        </x:is>
      </x:c>
      <x:c r="B33" s="16" t="inlineStr">
        <x:is>
          <x:t xml:space="preserve">Rohan Moore</x:t>
        </x:is>
      </x:c>
      <x:c r="C33" s="20" t="inlineStr">
        <x:is>
          <x:t xml:space="preserve">Missing PAN Status</x:t>
        </x:is>
      </x:c>
      <x:c r="D33" s="20" t="inlineStr">
        <x:is>
          <x:t xml:space="preserve">KYC field not updated</x:t>
        </x:is>
      </x:c>
      <x:c r="E33" s="20" t="inlineStr">
        <x:is>
          <x:t xml:space="preserve">Marked PAN verification status after document check</x:t>
        </x:is>
      </x:c>
      <x:c r="F33" s="21" t="inlineStr">
        <x:is>
          <x:t xml:space="preserve">Fixed</x:t>
        </x:is>
      </x:c>
      <x:c r="G33" s="22" t="inlineStr">
        <x:is>
          <x:t xml:space="preserve">HR Ops Analyst</x:t>
        </x:is>
      </x:c>
      <x:c r="H33" s="41" t="n">
        <x:v>45673</x:v>
      </x:c>
    </x:row>
    <x:row r="34">
      <x:c r="A34" s="15" t="inlineStr">
        <x:is>
          <x:t xml:space="preserve">EMP85223</x:t>
        </x:is>
      </x:c>
      <x:c r="B34" s="16" t="inlineStr">
        <x:is>
          <x:t xml:space="preserve">Deepika Iyer</x:t>
        </x:is>
      </x:c>
      <x:c r="C34" s="20" t="inlineStr">
        <x:is>
          <x:t xml:space="preserve">Invalid Attendance Days</x:t>
        </x:is>
      </x:c>
      <x:c r="D34" s="20" t="inlineStr">
        <x:is>
          <x:t xml:space="preserve">Biometric/system sync issue</x:t>
        </x:is>
      </x:c>
      <x:c r="E34" s="20" t="inlineStr">
        <x:is>
          <x:t xml:space="preserve">Corrected attendance based on HRMS records</x:t>
        </x:is>
      </x:c>
      <x:c r="F34" s="21" t="inlineStr">
        <x:is>
          <x:t xml:space="preserve">Fixed</x:t>
        </x:is>
      </x:c>
      <x:c r="G34" s="22" t="inlineStr">
        <x:is>
          <x:t xml:space="preserve">Payroll Analyst</x:t>
        </x:is>
      </x:c>
      <x:c r="H34" s="41" t="n">
        <x:v>45681</x:v>
      </x:c>
    </x:row>
    <x:row r="35">
      <x:c r="A35" s="15" t="inlineStr">
        <x:is>
          <x:t xml:space="preserve">EMP85470</x:t>
        </x:is>
      </x:c>
      <x:c r="B35" s="16" t="inlineStr">
        <x:is>
          <x:t xml:space="preserve">Priya Lee</x:t>
        </x:is>
      </x:c>
      <x:c r="C35" s="20" t="inlineStr">
        <x:is>
          <x:t xml:space="preserve">Invalid Attendance Days</x:t>
        </x:is>
      </x:c>
      <x:c r="D35" s="20" t="inlineStr">
        <x:is>
          <x:t xml:space="preserve">Biometric/system sync issue</x:t>
        </x:is>
      </x:c>
      <x:c r="E35" s="20" t="inlineStr">
        <x:is>
          <x:t xml:space="preserve">Corrected attendance based on HRMS records</x:t>
        </x:is>
      </x:c>
      <x:c r="F35" s="21" t="inlineStr">
        <x:is>
          <x:t xml:space="preserve">Fixed</x:t>
        </x:is>
      </x:c>
      <x:c r="G35" s="22" t="inlineStr">
        <x:is>
          <x:t xml:space="preserve">Shared Services Analyst</x:t>
        </x:is>
      </x:c>
      <x:c r="H35" s="41" t="n">
        <x:v>45677</x:v>
      </x:c>
    </x:row>
    <x:row r="36">
      <x:c r="A36" s="15" t="inlineStr">
        <x:is>
          <x:t xml:space="preserve">EMP54185</x:t>
        </x:is>
      </x:c>
      <x:c r="B36" s="16" t="inlineStr">
        <x:is>
          <x:t xml:space="preserve">Lucas Patel</x:t>
        </x:is>
      </x:c>
      <x:c r="C36" s="20" t="inlineStr">
        <x:is>
          <x:t xml:space="preserve">Invalid Attendance Days</x:t>
        </x:is>
      </x:c>
      <x:c r="D36" s="20" t="inlineStr">
        <x:is>
          <x:t xml:space="preserve">Biometric/system sync issue</x:t>
        </x:is>
      </x:c>
      <x:c r="E36" s="20" t="inlineStr">
        <x:is>
          <x:t xml:space="preserve">Corrected attendance based on HRMS records</x:t>
        </x:is>
      </x:c>
      <x:c r="F36" s="21" t="inlineStr">
        <x:is>
          <x:t xml:space="preserve">Fixed</x:t>
        </x:is>
      </x:c>
      <x:c r="G36" s="22" t="inlineStr">
        <x:is>
          <x:t xml:space="preserve">Kiran Kumar</x:t>
        </x:is>
      </x:c>
      <x:c r="H36" s="41" t="n">
        <x:v>45672</x:v>
      </x:c>
    </x:row>
    <x:row r="37">
      <x:c r="A37" s="15" t="inlineStr">
        <x:is>
          <x:t xml:space="preserve">EMP89638</x:t>
        </x:is>
      </x:c>
      <x:c r="B37" s="16" t="inlineStr">
        <x:is>
          <x:t xml:space="preserve">Lucas Singh</x:t>
        </x:is>
      </x:c>
      <x:c r="C37" s="20" t="inlineStr">
        <x:is>
          <x:t xml:space="preserve">Invalid Leave Taken</x:t>
        </x:is>
      </x:c>
      <x:c r="D37" s="20" t="inlineStr">
        <x:is>
          <x:t xml:space="preserve">Leave balance updated incorrectly</x:t>
        </x:is>
      </x:c>
      <x:c r="E37" s="20" t="inlineStr">
        <x:is>
          <x:t xml:space="preserve">Reconciled leave count with approved requests</x:t>
        </x:is>
      </x:c>
      <x:c r="F37" s="21" t="inlineStr">
        <x:is>
          <x:t xml:space="preserve">Fixed</x:t>
        </x:is>
      </x:c>
      <x:c r="G37" s="22" t="inlineStr">
        <x:is>
          <x:t xml:space="preserve">Kiran Kumar</x:t>
        </x:is>
      </x:c>
      <x:c r="H37" s="41" t="n">
        <x:v>45672</x:v>
      </x:c>
    </x:row>
    <x:row r="38">
      <x:c r="A38" s="15" t="inlineStr">
        <x:is>
          <x:t xml:space="preserve">EMP50306</x:t>
        </x:is>
      </x:c>
      <x:c r="B38" s="16" t="inlineStr">
        <x:is>
          <x:t xml:space="preserve">Kavya Bose</x:t>
        </x:is>
      </x:c>
      <x:c r="C38" s="20" t="inlineStr">
        <x:is>
          <x:t xml:space="preserve">Invalid Leave Taken</x:t>
        </x:is>
      </x:c>
      <x:c r="D38" s="20" t="inlineStr">
        <x:is>
          <x:t xml:space="preserve">Leave balance updated incorrectly</x:t>
        </x:is>
      </x:c>
      <x:c r="E38" s="20" t="inlineStr">
        <x:is>
          <x:t xml:space="preserve">Reconciled leave count with approved requests</x:t>
        </x:is>
      </x:c>
      <x:c r="F38" s="21" t="inlineStr">
        <x:is>
          <x:t xml:space="preserve">Fixed</x:t>
        </x:is>
      </x:c>
      <x:c r="G38" s="22" t="inlineStr">
        <x:is>
          <x:t xml:space="preserve">Shared Services Analyst</x:t>
        </x:is>
      </x:c>
      <x:c r="H38" s="41" t="n">
        <x:v>45663</x:v>
      </x:c>
    </x:row>
    <x:row r="39">
      <x:c r="A39" s="15" t="inlineStr">
        <x:is>
          <x:t xml:space="preserve">EMP98346</x:t>
        </x:is>
      </x:c>
      <x:c r="B39" s="16" t="inlineStr">
        <x:is>
          <x:t xml:space="preserve">Sneha Taylor</x:t>
        </x:is>
      </x:c>
      <x:c r="C39" s="20" t="inlineStr">
        <x:is>
          <x:t xml:space="preserve">Invalid Leave Taken</x:t>
        </x:is>
      </x:c>
      <x:c r="D39" s="20" t="inlineStr">
        <x:is>
          <x:t xml:space="preserve">Leave balance updated incorrectly</x:t>
        </x:is>
      </x:c>
      <x:c r="E39" s="20" t="inlineStr">
        <x:is>
          <x:t xml:space="preserve">Reconciled leave count with approved requests</x:t>
        </x:is>
      </x:c>
      <x:c r="F39" s="21" t="inlineStr">
        <x:is>
          <x:t xml:space="preserve">Fixed</x:t>
        </x:is>
      </x:c>
      <x:c r="G39" s="22" t="inlineStr">
        <x:is>
          <x:t xml:space="preserve">HR Ops Analyst</x:t>
        </x:is>
      </x:c>
      <x:c r="H39" s="41" t="n">
        <x:v>45677</x:v>
      </x:c>
    </x:row>
    <x:row r="40">
      <x:c r="A40" s="15" t="inlineStr">
        <x:is>
          <x:t xml:space="preserve">EMP73614</x:t>
        </x:is>
      </x:c>
      <x:c r="B40" s="16" t="inlineStr">
        <x:is>
          <x:t xml:space="preserve">Noah Verma</x:t>
        </x:is>
      </x:c>
      <x:c r="C40" s="20" t="inlineStr">
        <x:is>
          <x:t xml:space="preserve">Invalid Payroll Status</x:t>
        </x:is>
      </x:c>
      <x:c r="D40" s="20" t="inlineStr">
        <x:is>
          <x:t xml:space="preserve">Non-standard status used by source file</x:t>
        </x:is>
      </x:c>
      <x:c r="E40" s="20" t="inlineStr">
        <x:is>
          <x:t xml:space="preserve">Standardized payroll status to approved values</x:t>
        </x:is>
      </x:c>
      <x:c r="F40" s="21" t="inlineStr">
        <x:is>
          <x:t xml:space="preserve">Fixed</x:t>
        </x:is>
      </x:c>
      <x:c r="G40" s="22" t="inlineStr">
        <x:is>
          <x:t xml:space="preserve">HR Ops Analyst</x:t>
        </x:is>
      </x:c>
      <x:c r="H40" s="41" t="n">
        <x:v>45662</x:v>
      </x:c>
    </x:row>
    <x:row r="41">
      <x:c r="A41" s="15" t="inlineStr">
        <x:is>
          <x:t xml:space="preserve">EMP50730</x:t>
        </x:is>
      </x:c>
      <x:c r="B41" s="16" t="inlineStr">
        <x:is>
          <x:t xml:space="preserve">Aarav Nair</x:t>
        </x:is>
      </x:c>
      <x:c r="C41" s="20" t="inlineStr">
        <x:is>
          <x:t xml:space="preserve">Invalid Payroll Status</x:t>
        </x:is>
      </x:c>
      <x:c r="D41" s="20" t="inlineStr">
        <x:is>
          <x:t xml:space="preserve">Non-standard status used by source file</x:t>
        </x:is>
      </x:c>
      <x:c r="E41" s="20" t="inlineStr">
        <x:is>
          <x:t xml:space="preserve">Standardized payroll status to approved values</x:t>
        </x:is>
      </x:c>
      <x:c r="F41" s="21" t="inlineStr">
        <x:is>
          <x:t xml:space="preserve">Fixed</x:t>
        </x:is>
      </x:c>
      <x:c r="G41" s="22" t="inlineStr">
        <x:is>
          <x:t xml:space="preserve">Kiran Kumar</x:t>
        </x:is>
      </x:c>
      <x:c r="H41" s="41" t="n">
        <x:v>45668</x:v>
      </x:c>
    </x:row>
    <x:row r="42">
      <x:c r="A42" s="15" t="inlineStr">
        <x:is>
          <x:t xml:space="preserve">EMP85341</x:t>
        </x:is>
      </x:c>
      <x:c r="B42" s="16" t="inlineStr">
        <x:is>
          <x:t xml:space="preserve">Lucas Shah</x:t>
        </x:is>
      </x:c>
      <x:c r="C42" s="20" t="inlineStr">
        <x:is>
          <x:t xml:space="preserve">Invalid Payroll Status</x:t>
        </x:is>
      </x:c>
      <x:c r="D42" s="20" t="inlineStr">
        <x:is>
          <x:t xml:space="preserve">Non-standard status used by source file</x:t>
        </x:is>
      </x:c>
      <x:c r="E42" s="20" t="inlineStr">
        <x:is>
          <x:t xml:space="preserve">Standardized payroll status to approved values</x:t>
        </x:is>
      </x:c>
      <x:c r="F42" s="21" t="inlineStr">
        <x:is>
          <x:t xml:space="preserve">Fixed</x:t>
        </x:is>
      </x:c>
      <x:c r="G42" s="22" t="inlineStr">
        <x:is>
          <x:t xml:space="preserve">HR Ops Analyst</x:t>
        </x:is>
      </x:c>
      <x:c r="H42" s="41" t="n">
        <x:v>45672</x:v>
      </x:c>
    </x:row>
    <x:row r="43">
      <x:c r="A43" s="15" t="inlineStr">
        <x:is>
          <x:t xml:space="preserve">EMP37549</x:t>
        </x:is>
      </x:c>
      <x:c r="B43" s="16" t="inlineStr">
        <x:is>
          <x:t xml:space="preserve">Sneha Taylor</x:t>
        </x:is>
      </x:c>
      <x:c r="C43" s="20" t="inlineStr">
        <x:is>
          <x:t xml:space="preserve">Invalid Payroll Status</x:t>
        </x:is>
      </x:c>
      <x:c r="D43" s="20" t="inlineStr">
        <x:is>
          <x:t xml:space="preserve">Non-standard status used by source file</x:t>
        </x:is>
      </x:c>
      <x:c r="E43" s="20" t="inlineStr">
        <x:is>
          <x:t xml:space="preserve">Standardized payroll status to approved values</x:t>
        </x:is>
      </x:c>
      <x:c r="F43" s="21" t="inlineStr">
        <x:is>
          <x:t xml:space="preserve">Fixed</x:t>
        </x:is>
      </x:c>
      <x:c r="G43" s="22" t="inlineStr">
        <x:is>
          <x:t xml:space="preserve">Payroll Analyst</x:t>
        </x:is>
      </x:c>
      <x:c r="H43" s="41" t="n">
        <x:v>45671</x:v>
      </x:c>
    </x:row>
  </x:sheetData>
  <x:conditionalFormatting sqref="F2:F43">
    <x:cfRule type="expression" dxfId="1" priority="1">
      <x:formula>LEFT(F2,7)="Pending"</x:formula>
    </x:cfRule>
    <x:cfRule type="expression" dxfId="2" priority="2">
      <x:formula>F2="Fixed"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192d15a31be4035"/>
  </x:tableParts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14" customWidth="1"/>
    <x:col min="2" max="2" width="14" customWidth="1"/>
    <x:col min="3" max="3" width="14" customWidth="1"/>
    <x:col min="4" max="4" width="14" customWidth="1"/>
    <x:col min="5" max="5" width="14" customWidth="1"/>
    <x:col min="6" max="6" width="14" customWidth="1"/>
    <x:col min="7" max="7" width="14" customWidth="1"/>
    <x:col min="8" max="8" width="14" customWidth="1"/>
    <x:col min="9" max="9" width="14" customWidth="1"/>
    <x:col min="10" max="10" width="14" customWidth="1"/>
    <x:col min="11" max="11" width="14" customWidth="1"/>
    <x:col min="12" max="12" width="14" customWidth="1"/>
    <x:col min="13" max="13" width="14" customWidth="1"/>
    <x:col min="14" max="14" width="14" customWidth="1"/>
  </x:cols>
  <x:sheetData>
    <x:row r="1" ht="28" customHeight="1">
      <x:c r="A1" s="25" t="inlineStr">
        <x:is>
          <x:t xml:space="preserve">HR / Payroll Data Validation &amp; Error Detection Dashboard</x:t>
        </x:is>
      </x:c>
    </x:row>
    <x:row r="3">
      <x:c r="A3" s="26" t="inlineStr">
        <x:is>
          <x:t xml:space="preserve">Total Records</x:t>
        </x:is>
      </x:c>
      <x:c r="B3" s="42" t="n"/>
      <x:c r="C3" s="26" t="inlineStr">
        <x:is>
          <x:t xml:space="preserve">Total Issues Logged</x:t>
        </x:is>
      </x:c>
      <x:c r="D3" s="42" t="n"/>
      <x:c r="E3" s="26" t="inlineStr">
        <x:is>
          <x:t xml:space="preserve">Records with Errors</x:t>
        </x:is>
      </x:c>
      <x:c r="F3" s="42" t="n"/>
      <x:c r="G3" s="26" t="inlineStr">
        <x:is>
          <x:t xml:space="preserve">Fixed Issues</x:t>
        </x:is>
      </x:c>
      <x:c r="H3" s="42" t="n"/>
      <x:c r="I3" s="26" t="inlineStr">
        <x:is>
          <x:t xml:space="preserve">Pending Issues</x:t>
        </x:is>
      </x:c>
      <x:c r="J3" s="42" t="n"/>
      <x:c r="K3" s="26" t="inlineStr">
        <x:is>
          <x:t xml:space="preserve">Error Rate</x:t>
        </x:is>
      </x:c>
      <x:c r="L3" s="42" t="n"/>
    </x:row>
    <x:row r="4">
      <x:c r="A4" s="28">
        <x:f>COUNTA(Raw_HR_Data!A2:A221)</x:f>
        <x:v>220</x:v>
      </x:c>
      <x:c r="B4" s="43" t="n"/>
      <x:c r="C4" s="28">
        <x:f>ROWS(Fix_Log!A2:A43)</x:f>
        <x:v>42</x:v>
      </x:c>
      <x:c r="D4" s="43" t="n"/>
      <x:c r="E4" s="28">
        <x:f>COUNTIF(Error_Checks!P4:P223,"Error Found")</x:f>
        <x:v>43</x:v>
      </x:c>
      <x:c r="F4" s="43" t="n"/>
      <x:c r="G4" s="28">
        <x:f>COUNTIF(Fix_Log!F2:F43,"Fixed")</x:f>
        <x:v>34</x:v>
      </x:c>
      <x:c r="H4" s="43" t="n"/>
      <x:c r="I4" s="44">
        <x:f>COUNTIF(Fix_Log!F2:F43,"Pending Review")+COUNTIF(Fix_Log!F2:F43,"Pending Verification")</x:f>
        <x:v>8</x:v>
      </x:c>
      <x:c r="J4" s="43" t="n"/>
      <x:c r="K4" s="45">
        <x:f>IF(A4=0,0,E4/A4)</x:f>
        <x:v>0.19545454545454546</x:v>
      </x:c>
      <x:c r="L4" s="43" t="n"/>
    </x:row>
    <x:row r="5">
      <x:c r="A5" s="46" t="n"/>
      <x:c r="B5" s="47" t="n"/>
      <x:c r="C5" s="46" t="n"/>
      <x:c r="D5" s="47" t="n"/>
      <x:c r="E5" s="46" t="n"/>
      <x:c r="F5" s="47" t="n"/>
      <x:c r="G5" s="46" t="n"/>
      <x:c r="H5" s="47" t="n"/>
      <x:c r="I5" s="46" t="n"/>
      <x:c r="J5" s="47" t="n"/>
      <x:c r="K5" s="46" t="n"/>
      <x:c r="L5" s="47" t="n"/>
    </x:row>
    <x:row r="8" ht="34.5" customHeight="1">
      <x:c r="A8" s="2" t="inlineStr">
        <x:is>
          <x:t xml:space="preserve">Error Type</x:t>
        </x:is>
      </x:c>
      <x:c r="B8" s="2" t="inlineStr">
        <x:is>
          <x:t xml:space="preserve">Count</x:t>
        </x:is>
      </x:c>
      <x:c r="D8" s="2" t="inlineStr">
        <x:is>
          <x:t xml:space="preserve">Department</x:t>
        </x:is>
      </x:c>
      <x:c r="E8" s="2" t="inlineStr">
        <x:is>
          <x:t xml:space="preserve">Records with Errors</x:t>
        </x:is>
      </x:c>
      <x:c r="G8" s="2" t="inlineStr">
        <x:is>
          <x:t xml:space="preserve">Payroll Status</x:t>
        </x:is>
      </x:c>
      <x:c r="H8" s="2" t="inlineStr">
        <x:is>
          <x:t xml:space="preserve">Count</x:t>
        </x:is>
      </x:c>
      <x:c r="J8" s="31" t="inlineStr">
        <x:is>
          <x:t xml:space="preserve">Fix Status</x:t>
        </x:is>
      </x:c>
      <x:c r="K8" s="32" t="inlineStr">
        <x:is>
          <x:t xml:space="preserve">Count</x:t>
        </x:is>
      </x:c>
    </x:row>
    <x:row r="9">
      <x:c r="A9" s="33" t="inlineStr">
        <x:is>
          <x:t xml:space="preserve">Duplicate ID</x:t>
        </x:is>
      </x:c>
      <x:c r="B9" s="34">
        <x:f>COUNTIF(Error_Checks!D4:D223,"Duplicate")</x:f>
        <x:v>8</x:v>
      </x:c>
      <x:c r="D9" s="33" t="inlineStr">
        <x:is>
          <x:t xml:space="preserve">Payroll Ops</x:t>
        </x:is>
      </x:c>
      <x:c r="E9" s="34">
        <x:f>COUNTIFS(Error_Checks!C4:C223,"Payroll Ops",Error_Checks!P4:P223,"Error Found")</x:f>
        <x:v>3</x:v>
      </x:c>
      <x:c r="G9" s="33" t="inlineStr">
        <x:is>
          <x:t xml:space="preserve">Processed</x:t>
        </x:is>
      </x:c>
      <x:c r="H9" s="34">
        <x:f>COUNTIF(Validated_Data!O2:O221,"Processed")</x:f>
        <x:v>160</x:v>
      </x:c>
      <x:c r="J9" s="33" t="inlineStr">
        <x:is>
          <x:t xml:space="preserve">Fixed</x:t>
        </x:is>
      </x:c>
      <x:c r="K9" s="34">
        <x:f>COUNTIF(Fix_Log!F2:F43,"Fixed")</x:f>
        <x:v>34</x:v>
      </x:c>
    </x:row>
    <x:row r="10">
      <x:c r="A10" s="33" t="inlineStr">
        <x:is>
          <x:t xml:space="preserve">Missing Name</x:t>
        </x:is>
      </x:c>
      <x:c r="B10" s="34">
        <x:f>COUNTIF(Error_Checks!E4:E223,"Missing Name")</x:f>
        <x:v>4</x:v>
      </x:c>
      <x:c r="D10" s="33" t="inlineStr">
        <x:is>
          <x:t xml:space="preserve">HR Shared Services</x:t>
        </x:is>
      </x:c>
      <x:c r="E10" s="34">
        <x:f>COUNTIFS(Error_Checks!C4:C223,"HR Shared Services",Error_Checks!P4:P223,"Error Found")</x:f>
        <x:v>4</x:v>
      </x:c>
      <x:c r="G10" s="33" t="inlineStr">
        <x:is>
          <x:t xml:space="preserve">Pending</x:t>
        </x:is>
      </x:c>
      <x:c r="H10" s="34">
        <x:f>COUNTIF(Validated_Data!O2:O221,"Pending")</x:f>
        <x:v>44</x:v>
      </x:c>
      <x:c r="J10" s="33" t="inlineStr">
        <x:is>
          <x:t xml:space="preserve">Pending Review</x:t>
        </x:is>
      </x:c>
      <x:c r="K10" s="34">
        <x:f>COUNTIF(Fix_Log!F2:F43,"Pending Review")</x:f>
        <x:v>6</x:v>
      </x:c>
    </x:row>
    <x:row r="11">
      <x:c r="A11" s="33" t="inlineStr">
        <x:is>
          <x:t xml:space="preserve">Missing Salary</x:t>
        </x:is>
      </x:c>
      <x:c r="B11" s="34">
        <x:f>COUNTIF(Error_Checks!F4:F223,"Missing Salary")</x:f>
        <x:v>4</x:v>
      </x:c>
      <x:c r="D11" s="33" t="inlineStr">
        <x:is>
          <x:t xml:space="preserve">Finance Ops</x:t>
        </x:is>
      </x:c>
      <x:c r="E11" s="34">
        <x:f>COUNTIFS(Error_Checks!C4:C223,"Finance Ops",Error_Checks!P4:P223,"Error Found")</x:f>
        <x:v>4</x:v>
      </x:c>
      <x:c r="G11" s="33" t="inlineStr">
        <x:is>
          <x:t xml:space="preserve">Hold</x:t>
        </x:is>
      </x:c>
      <x:c r="H11" s="34">
        <x:f>COUNTIF(Validated_Data!O2:O221,"Hold")</x:f>
        <x:v>16</x:v>
      </x:c>
      <x:c r="J11" s="33" t="inlineStr">
        <x:is>
          <x:t xml:space="preserve">Pending Verification</x:t>
        </x:is>
      </x:c>
      <x:c r="K11" s="34">
        <x:f>COUNTIF(Fix_Log!F2:F43,"Pending Verification")</x:f>
        <x:v>2</x:v>
      </x:c>
    </x:row>
    <x:row r="12">
      <x:c r="A12" s="33" t="inlineStr">
        <x:is>
          <x:t xml:space="preserve">Invalid Salary Type</x:t>
        </x:is>
      </x:c>
      <x:c r="B12" s="34">
        <x:f>COUNTIF(Error_Checks!G4:G223,"Invalid Salary Type")</x:f>
        <x:v>3</x:v>
      </x:c>
      <x:c r="D12" s="33" t="inlineStr">
        <x:is>
          <x:t xml:space="preserve">Benefits Team</x:t>
        </x:is>
      </x:c>
      <x:c r="E12" s="34">
        <x:f>COUNTIFS(Error_Checks!C4:C223,"Benefits Team",Error_Checks!P4:P223,"Error Found")</x:f>
        <x:v>3</x:v>
      </x:c>
    </x:row>
    <x:row r="13">
      <x:c r="A13" s="33" t="inlineStr">
        <x:is>
          <x:t xml:space="preserve">Negative Deduction</x:t>
        </x:is>
      </x:c>
      <x:c r="B13" s="34">
        <x:f>COUNTIF(Error_Checks!H4:H223,"Invalid Deduction")</x:f>
        <x:v>4</x:v>
      </x:c>
      <x:c r="D13" s="33" t="inlineStr">
        <x:is>
          <x:t xml:space="preserve">Talent Ops</x:t>
        </x:is>
      </x:c>
      <x:c r="E13" s="34">
        <x:f>COUNTIFS(Error_Checks!C4:C223,"Talent Ops",Error_Checks!P4:P223,"Error Found")</x:f>
        <x:v>2</x:v>
      </x:c>
    </x:row>
    <x:row r="14">
      <x:c r="A14" s="33" t="inlineStr">
        <x:is>
          <x:t xml:space="preserve">Net Pay Error</x:t>
        </x:is>
      </x:c>
      <x:c r="B14" s="34">
        <x:f>COUNTIF(Error_Checks!I4:I223,"Net Pay Error")</x:f>
        <x:v>6</x:v>
      </x:c>
      <x:c r="D14" s="33" t="inlineStr">
        <x:is>
          <x:t xml:space="preserve">IT Support</x:t>
        </x:is>
      </x:c>
      <x:c r="E14" s="34">
        <x:f>COUNTIFS(Error_Checks!C4:C223,"IT Support",Error_Checks!P4:P223,"Error Found")</x:f>
        <x:v>5</x:v>
      </x:c>
    </x:row>
    <x:row r="15">
      <x:c r="A15" s="33" t="inlineStr">
        <x:is>
          <x:t xml:space="preserve">Missing Bank Status</x:t>
        </x:is>
      </x:c>
      <x:c r="B15" s="34">
        <x:f>COUNTIF(Error_Checks!J4:J223,"Missing Bank Status")</x:f>
        <x:v>3</x:v>
      </x:c>
      <x:c r="D15" s="33" t="inlineStr">
        <x:is>
          <x:t xml:space="preserve">Risk Advisory</x:t>
        </x:is>
      </x:c>
      <x:c r="E15" s="34">
        <x:f>COUNTIFS(Error_Checks!C4:C223,"Risk Advisory",Error_Checks!P4:P223,"Error Found")</x:f>
        <x:v>8</x:v>
      </x:c>
    </x:row>
    <x:row r="16">
      <x:c r="A16" s="33" t="inlineStr">
        <x:is>
          <x:t xml:space="preserve">Missing PAN</x:t>
        </x:is>
      </x:c>
      <x:c r="B16" s="34">
        <x:f>COUNTIF(Error_Checks!K4:K223,"Missing PAN")</x:f>
        <x:v>3</x:v>
      </x:c>
      <x:c r="D16" s="33" t="inlineStr">
        <x:is>
          <x:t xml:space="preserve">Audit Support</x:t>
        </x:is>
      </x:c>
      <x:c r="E16" s="34">
        <x:f>COUNTIFS(Error_Checks!C4:C223,"Audit Support",Error_Checks!P4:P223,"Error Found")</x:f>
        <x:v>3</x:v>
      </x:c>
    </x:row>
    <x:row r="17">
      <x:c r="A17" s="33" t="inlineStr">
        <x:is>
          <x:t xml:space="preserve">Invalid Attendance</x:t>
        </x:is>
      </x:c>
      <x:c r="B17" s="34">
        <x:f>COUNTIF(Error_Checks!L4:L223,"Invalid Attendance")</x:f>
        <x:v>3</x:v>
      </x:c>
      <x:c r="D17" s="33" t="inlineStr">
        <x:is>
          <x:t xml:space="preserve">Tax Support</x:t>
        </x:is>
      </x:c>
      <x:c r="E17" s="34">
        <x:f>COUNTIFS(Error_Checks!C4:C223,"Tax Support",Error_Checks!P4:P223,"Error Found")</x:f>
        <x:v>7</x:v>
      </x:c>
    </x:row>
    <x:row r="18">
      <x:c r="A18" s="33" t="inlineStr">
        <x:is>
          <x:t xml:space="preserve">Invalid Leave</x:t>
        </x:is>
      </x:c>
      <x:c r="B18" s="34">
        <x:f>COUNTIF(Error_Checks!M4:M223,"Invalid Leave")</x:f>
        <x:v>3</x:v>
      </x:c>
      <x:c r="D18" s="33" t="inlineStr">
        <x:is>
          <x:t xml:space="preserve">Consulting Ops</x:t>
        </x:is>
      </x:c>
      <x:c r="E18" s="34">
        <x:f>COUNTIFS(Error_Checks!C4:C223,"Consulting Ops",Error_Checks!P4:P223,"Error Found")</x:f>
        <x:v>4</x:v>
      </x:c>
    </x:row>
    <x:row r="19">
      <x:c r="A19" s="33" t="inlineStr">
        <x:is>
          <x:t xml:space="preserve">Invalid Payroll Status</x:t>
        </x:is>
      </x:c>
      <x:c r="B19" s="34">
        <x:f>COUNTIF(Error_Checks!N4:N223,"Invalid Payroll Status")</x:f>
        <x:v>4</x:v>
      </x:c>
    </x:row>
    <x:row r="21">
      <x:c r="J21" s="26" t="n"/>
      <x:c r="K21" s="48" t="n"/>
      <x:c r="L21" s="48" t="n"/>
      <x:c r="M21" s="48" t="n"/>
      <x:c r="N21" s="42" t="n"/>
    </x:row>
    <x:row r="22">
      <x:c r="J22" s="35" t="n"/>
      <x:c r="K22" s="48" t="n"/>
      <x:c r="L22" s="48" t="n"/>
      <x:c r="M22" s="48" t="n"/>
      <x:c r="N22" s="42" t="n"/>
    </x:row>
    <x:row r="23">
      <x:c r="J23" s="35" t="n"/>
      <x:c r="K23" s="48" t="n"/>
      <x:c r="L23" s="48" t="n"/>
      <x:c r="M23" s="48" t="n"/>
      <x:c r="N23" s="42" t="n"/>
    </x:row>
    <x:row r="24">
      <x:c r="J24" s="35" t="n"/>
      <x:c r="K24" s="48" t="n"/>
      <x:c r="L24" s="48" t="n"/>
      <x:c r="M24" s="48" t="n"/>
      <x:c r="N24" s="42" t="n"/>
    </x:row>
    <x:row r="25">
      <x:c r="J25" s="35" t="n"/>
      <x:c r="K25" s="48" t="n"/>
      <x:c r="L25" s="48" t="n"/>
      <x:c r="M25" s="48" t="n"/>
      <x:c r="N25" s="42" t="n"/>
    </x:row>
  </x:sheetData>
  <x:mergeCells>
    <x:mergeCell ref="C4:D5"/>
    <x:mergeCell ref="A4:B5"/>
    <x:mergeCell ref="G4:H5"/>
    <x:mergeCell ref="E4:F5"/>
    <x:mergeCell ref="J22:N22"/>
    <x:mergeCell ref="I4:J5"/>
    <x:mergeCell ref="J21:N21"/>
    <x:mergeCell ref="K4:L5"/>
    <x:mergeCell ref="I3:J3"/>
    <x:mergeCell ref="J25:N25"/>
    <x:mergeCell ref="J24:N24"/>
    <x:mergeCell ref="J23:N23"/>
    <x:mergeCell ref="C3:D3"/>
    <x:mergeCell ref="A3:B3"/>
    <x:mergeCell ref="G3:H3"/>
    <x:mergeCell ref="E3:F3"/>
    <x:mergeCell ref="K3:L3"/>
    <x:mergeCell ref="A1:N1"/>
  </x:mergeCells>
  <x:pageMargins left="0.7" right="0.7" top="0.75" bottom="0.75" header="0.3" footer="0.3"/>
  <x:drawing xmlns:r="http://schemas.openxmlformats.org/officeDocument/2006/relationships" r:id="R0285f7d3b454418d"/>
</x:worksheet>
</file>